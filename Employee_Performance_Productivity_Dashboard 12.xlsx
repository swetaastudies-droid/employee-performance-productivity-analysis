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64" windowWidth="13116" windowHeight="5244"/>
  </bookViews>
  <sheets>
    <sheet name="Employee_Performance" sheetId="1" r:id="rId1"/>
    <sheet name="KPI_Calculations" sheetId="2" r:id="rId2"/>
  </sheets>
  <definedNames>
    <definedName name="_xlnm._FilterDatabase" localSheetId="0" hidden="1">Employee_Performance!$A$1:$K$241</definedName>
  </definedNames>
  <calcPr calcId="124519"/>
  <fileRecoveryPr repairLoad="1"/>
</workbook>
</file>

<file path=xl/calcChain.xml><?xml version="1.0" encoding="utf-8"?>
<calcChain xmlns="http://schemas.openxmlformats.org/spreadsheetml/2006/main">
  <c r="R150" i="1"/>
  <c r="R151"/>
  <c r="R152"/>
  <c r="R153"/>
  <c r="R154"/>
  <c r="R155"/>
  <c r="R156"/>
  <c r="R157"/>
  <c r="R158"/>
  <c r="R159"/>
  <c r="R160"/>
  <c r="R161"/>
  <c r="R162"/>
  <c r="R163"/>
  <c r="R164"/>
  <c r="R165"/>
  <c r="R166"/>
  <c r="R167"/>
  <c r="R168"/>
  <c r="R169"/>
  <c r="R170"/>
  <c r="R171"/>
  <c r="R172"/>
  <c r="R173"/>
  <c r="R174"/>
  <c r="R175"/>
  <c r="R176"/>
  <c r="R177"/>
  <c r="R178"/>
  <c r="R179"/>
  <c r="R180"/>
  <c r="R181"/>
  <c r="R182"/>
  <c r="R183"/>
  <c r="R184"/>
  <c r="R185"/>
  <c r="R186"/>
  <c r="R187"/>
  <c r="R188"/>
  <c r="R189"/>
  <c r="R190"/>
  <c r="R191"/>
  <c r="R192"/>
  <c r="R193"/>
  <c r="R194"/>
  <c r="R195"/>
  <c r="R196"/>
  <c r="R197"/>
  <c r="R198"/>
  <c r="R199"/>
  <c r="R200"/>
  <c r="R201"/>
  <c r="R202"/>
  <c r="R203"/>
  <c r="R204"/>
  <c r="R205"/>
  <c r="R206"/>
  <c r="R207"/>
  <c r="R208"/>
  <c r="R209"/>
  <c r="R210"/>
  <c r="R211"/>
  <c r="R212"/>
  <c r="R213"/>
  <c r="R214"/>
  <c r="R215"/>
  <c r="R216"/>
  <c r="R217"/>
  <c r="R218"/>
  <c r="R219"/>
  <c r="R220"/>
  <c r="R221"/>
  <c r="R222"/>
  <c r="R223"/>
  <c r="R224"/>
  <c r="R225"/>
  <c r="R226"/>
  <c r="R227"/>
  <c r="R228"/>
  <c r="R229"/>
  <c r="R230"/>
  <c r="R231"/>
  <c r="R232"/>
  <c r="R233"/>
  <c r="R234"/>
  <c r="R235"/>
  <c r="R236"/>
  <c r="R237"/>
  <c r="R238"/>
  <c r="R239"/>
  <c r="R240"/>
  <c r="R241"/>
  <c r="R43"/>
  <c r="R44"/>
  <c r="R45"/>
  <c r="R46"/>
  <c r="R47"/>
  <c r="R48"/>
  <c r="R49"/>
  <c r="R50"/>
  <c r="R51"/>
  <c r="R52"/>
  <c r="R53"/>
  <c r="R54"/>
  <c r="R55"/>
  <c r="R56"/>
  <c r="R57"/>
  <c r="R58"/>
  <c r="R59"/>
  <c r="R60"/>
  <c r="R61"/>
  <c r="R62"/>
  <c r="R63"/>
  <c r="R64"/>
  <c r="R65"/>
  <c r="R66"/>
  <c r="R67"/>
  <c r="R68"/>
  <c r="R69"/>
  <c r="R70"/>
  <c r="R71"/>
  <c r="R72"/>
  <c r="R73"/>
  <c r="R74"/>
  <c r="R75"/>
  <c r="R76"/>
  <c r="R77"/>
  <c r="R78"/>
  <c r="R79"/>
  <c r="R80"/>
  <c r="R81"/>
  <c r="R82"/>
  <c r="R83"/>
  <c r="R84"/>
  <c r="R85"/>
  <c r="R86"/>
  <c r="R87"/>
  <c r="R88"/>
  <c r="R89"/>
  <c r="R90"/>
  <c r="R91"/>
  <c r="R92"/>
  <c r="R93"/>
  <c r="R94"/>
  <c r="R95"/>
  <c r="R96"/>
  <c r="R97"/>
  <c r="R98"/>
  <c r="R99"/>
  <c r="R100"/>
  <c r="R101"/>
  <c r="R102"/>
  <c r="R103"/>
  <c r="R104"/>
  <c r="R105"/>
  <c r="R106"/>
  <c r="R107"/>
  <c r="R108"/>
  <c r="R109"/>
  <c r="R110"/>
  <c r="R111"/>
  <c r="R112"/>
  <c r="R113"/>
  <c r="R114"/>
  <c r="R115"/>
  <c r="R116"/>
  <c r="R117"/>
  <c r="R118"/>
  <c r="R119"/>
  <c r="R120"/>
  <c r="R121"/>
  <c r="R122"/>
  <c r="R123"/>
  <c r="R124"/>
  <c r="R125"/>
  <c r="R126"/>
  <c r="R127"/>
  <c r="R128"/>
  <c r="R129"/>
  <c r="R130"/>
  <c r="R131"/>
  <c r="R132"/>
  <c r="R133"/>
  <c r="R134"/>
  <c r="R135"/>
  <c r="R136"/>
  <c r="R137"/>
  <c r="R138"/>
  <c r="R139"/>
  <c r="R140"/>
  <c r="R141"/>
  <c r="R142"/>
  <c r="R143"/>
  <c r="R144"/>
  <c r="R145"/>
  <c r="R146"/>
  <c r="R147"/>
  <c r="R148"/>
  <c r="R149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33"/>
  <c r="R34"/>
  <c r="R35"/>
  <c r="R36"/>
  <c r="R37"/>
  <c r="R38"/>
  <c r="R39"/>
  <c r="R40"/>
  <c r="R41"/>
  <c r="R42"/>
  <c r="R2"/>
  <c r="Q212"/>
  <c r="Q213"/>
  <c r="Q214"/>
  <c r="Q215"/>
  <c r="Q216"/>
  <c r="Q217"/>
  <c r="Q218"/>
  <c r="Q219"/>
  <c r="Q220"/>
  <c r="Q221"/>
  <c r="Q222"/>
  <c r="Q223"/>
  <c r="Q224"/>
  <c r="Q225"/>
  <c r="Q226"/>
  <c r="Q227"/>
  <c r="Q228"/>
  <c r="Q229"/>
  <c r="Q230"/>
  <c r="Q231"/>
  <c r="Q232"/>
  <c r="Q233"/>
  <c r="Q234"/>
  <c r="Q235"/>
  <c r="Q236"/>
  <c r="Q237"/>
  <c r="Q238"/>
  <c r="Q239"/>
  <c r="Q240"/>
  <c r="Q241"/>
  <c r="Q200"/>
  <c r="Q201"/>
  <c r="Q202"/>
  <c r="Q203"/>
  <c r="Q204"/>
  <c r="Q205"/>
  <c r="Q206"/>
  <c r="Q207"/>
  <c r="Q208"/>
  <c r="Q209"/>
  <c r="Q210"/>
  <c r="Q211"/>
  <c r="Q184"/>
  <c r="Q185"/>
  <c r="Q186"/>
  <c r="Q187"/>
  <c r="Q188"/>
  <c r="Q189"/>
  <c r="Q190"/>
  <c r="Q191"/>
  <c r="Q192"/>
  <c r="Q193"/>
  <c r="Q194"/>
  <c r="Q195"/>
  <c r="Q196"/>
  <c r="Q197"/>
  <c r="Q198"/>
  <c r="Q199"/>
  <c r="Q169"/>
  <c r="Q170"/>
  <c r="Q171"/>
  <c r="Q172"/>
  <c r="Q173"/>
  <c r="Q174"/>
  <c r="Q175"/>
  <c r="Q176"/>
  <c r="Q177"/>
  <c r="Q178"/>
  <c r="Q179"/>
  <c r="Q180"/>
  <c r="Q181"/>
  <c r="Q182"/>
  <c r="Q183"/>
  <c r="Q151"/>
  <c r="Q152"/>
  <c r="Q153"/>
  <c r="Q154"/>
  <c r="Q155"/>
  <c r="Q156"/>
  <c r="Q157"/>
  <c r="Q158"/>
  <c r="Q159"/>
  <c r="Q160"/>
  <c r="Q161"/>
  <c r="Q162"/>
  <c r="Q163"/>
  <c r="Q164"/>
  <c r="Q165"/>
  <c r="Q166"/>
  <c r="Q167"/>
  <c r="Q168"/>
  <c r="Q139"/>
  <c r="Q140"/>
  <c r="Q141"/>
  <c r="Q142"/>
  <c r="Q143"/>
  <c r="Q144"/>
  <c r="Q145"/>
  <c r="Q146"/>
  <c r="Q147"/>
  <c r="Q148"/>
  <c r="Q149"/>
  <c r="Q150"/>
  <c r="Q107"/>
  <c r="Q108"/>
  <c r="Q109"/>
  <c r="Q110"/>
  <c r="Q111"/>
  <c r="Q112"/>
  <c r="Q113"/>
  <c r="Q114"/>
  <c r="Q115"/>
  <c r="Q116"/>
  <c r="Q117"/>
  <c r="Q118"/>
  <c r="Q119"/>
  <c r="Q120"/>
  <c r="Q121"/>
  <c r="Q122"/>
  <c r="Q123"/>
  <c r="Q124"/>
  <c r="Q125"/>
  <c r="Q126"/>
  <c r="Q127"/>
  <c r="Q128"/>
  <c r="Q129"/>
  <c r="Q130"/>
  <c r="Q131"/>
  <c r="Q132"/>
  <c r="Q133"/>
  <c r="Q134"/>
  <c r="Q135"/>
  <c r="Q136"/>
  <c r="Q137"/>
  <c r="Q138"/>
  <c r="Q92"/>
  <c r="Q93"/>
  <c r="Q94"/>
  <c r="Q95"/>
  <c r="Q96"/>
  <c r="Q97"/>
  <c r="Q98"/>
  <c r="Q99"/>
  <c r="Q100"/>
  <c r="Q101"/>
  <c r="Q102"/>
  <c r="Q103"/>
  <c r="Q104"/>
  <c r="Q105"/>
  <c r="Q106"/>
  <c r="Q70"/>
  <c r="Q71"/>
  <c r="Q72"/>
  <c r="Q73"/>
  <c r="Q74"/>
  <c r="Q75"/>
  <c r="Q76"/>
  <c r="Q77"/>
  <c r="Q78"/>
  <c r="Q79"/>
  <c r="Q80"/>
  <c r="Q81"/>
  <c r="Q82"/>
  <c r="Q83"/>
  <c r="Q84"/>
  <c r="Q85"/>
  <c r="Q86"/>
  <c r="Q87"/>
  <c r="Q88"/>
  <c r="Q89"/>
  <c r="Q90"/>
  <c r="Q91"/>
  <c r="Q54"/>
  <c r="Q55"/>
  <c r="Q56"/>
  <c r="Q57"/>
  <c r="Q58"/>
  <c r="Q59"/>
  <c r="Q60"/>
  <c r="Q61"/>
  <c r="Q62"/>
  <c r="Q63"/>
  <c r="Q64"/>
  <c r="Q65"/>
  <c r="Q66"/>
  <c r="Q67"/>
  <c r="Q68"/>
  <c r="Q69"/>
  <c r="Q41"/>
  <c r="Q42"/>
  <c r="Q43"/>
  <c r="Q44"/>
  <c r="Q45"/>
  <c r="Q46"/>
  <c r="Q47"/>
  <c r="Q48"/>
  <c r="Q49"/>
  <c r="Q50"/>
  <c r="Q51"/>
  <c r="Q52"/>
  <c r="Q53"/>
  <c r="Q30"/>
  <c r="Q31"/>
  <c r="Q32"/>
  <c r="Q33"/>
  <c r="Q34"/>
  <c r="Q35"/>
  <c r="Q36"/>
  <c r="Q37"/>
  <c r="Q38"/>
  <c r="Q39"/>
  <c r="Q40"/>
  <c r="Q18"/>
  <c r="Q19"/>
  <c r="Q20"/>
  <c r="Q21"/>
  <c r="Q22"/>
  <c r="Q23"/>
  <c r="Q24"/>
  <c r="Q25"/>
  <c r="Q26"/>
  <c r="Q27"/>
  <c r="Q28"/>
  <c r="Q29"/>
  <c r="Q3"/>
  <c r="Q4"/>
  <c r="Q5"/>
  <c r="Q6"/>
  <c r="Q7"/>
  <c r="Q8"/>
  <c r="Q9"/>
  <c r="Q10"/>
  <c r="Q11"/>
  <c r="Q12"/>
  <c r="Q13"/>
  <c r="Q14"/>
  <c r="Q15"/>
  <c r="Q16"/>
  <c r="Q17"/>
  <c r="Q2"/>
  <c r="P3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P69"/>
  <c r="P70"/>
  <c r="P71"/>
  <c r="P72"/>
  <c r="P73"/>
  <c r="P74"/>
  <c r="P75"/>
  <c r="P76"/>
  <c r="P77"/>
  <c r="P78"/>
  <c r="P79"/>
  <c r="P80"/>
  <c r="P81"/>
  <c r="P82"/>
  <c r="P83"/>
  <c r="P84"/>
  <c r="P85"/>
  <c r="P86"/>
  <c r="P87"/>
  <c r="P88"/>
  <c r="P89"/>
  <c r="P90"/>
  <c r="P91"/>
  <c r="P92"/>
  <c r="P93"/>
  <c r="P94"/>
  <c r="P95"/>
  <c r="P96"/>
  <c r="P97"/>
  <c r="P98"/>
  <c r="P99"/>
  <c r="P100"/>
  <c r="P101"/>
  <c r="P102"/>
  <c r="P103"/>
  <c r="P104"/>
  <c r="P105"/>
  <c r="P106"/>
  <c r="P107"/>
  <c r="P108"/>
  <c r="P109"/>
  <c r="P110"/>
  <c r="P111"/>
  <c r="P112"/>
  <c r="P113"/>
  <c r="P114"/>
  <c r="P115"/>
  <c r="P116"/>
  <c r="P117"/>
  <c r="P118"/>
  <c r="P119"/>
  <c r="P120"/>
  <c r="P121"/>
  <c r="P122"/>
  <c r="P123"/>
  <c r="P124"/>
  <c r="P125"/>
  <c r="P126"/>
  <c r="P127"/>
  <c r="P128"/>
  <c r="P129"/>
  <c r="P130"/>
  <c r="P131"/>
  <c r="P132"/>
  <c r="P133"/>
  <c r="P134"/>
  <c r="P135"/>
  <c r="P136"/>
  <c r="P137"/>
  <c r="P138"/>
  <c r="P139"/>
  <c r="P140"/>
  <c r="P141"/>
  <c r="P142"/>
  <c r="P143"/>
  <c r="P144"/>
  <c r="P145"/>
  <c r="P146"/>
  <c r="P147"/>
  <c r="P148"/>
  <c r="P149"/>
  <c r="P150"/>
  <c r="P151"/>
  <c r="P152"/>
  <c r="P153"/>
  <c r="P154"/>
  <c r="P155"/>
  <c r="P156"/>
  <c r="P157"/>
  <c r="P158"/>
  <c r="P159"/>
  <c r="P160"/>
  <c r="P161"/>
  <c r="P162"/>
  <c r="P163"/>
  <c r="P164"/>
  <c r="P165"/>
  <c r="P166"/>
  <c r="P167"/>
  <c r="P168"/>
  <c r="P169"/>
  <c r="P170"/>
  <c r="P171"/>
  <c r="P172"/>
  <c r="P173"/>
  <c r="P174"/>
  <c r="P175"/>
  <c r="P176"/>
  <c r="P177"/>
  <c r="P178"/>
  <c r="P179"/>
  <c r="P180"/>
  <c r="P181"/>
  <c r="P182"/>
  <c r="P183"/>
  <c r="P184"/>
  <c r="P185"/>
  <c r="P186"/>
  <c r="P187"/>
  <c r="P188"/>
  <c r="P189"/>
  <c r="P190"/>
  <c r="P191"/>
  <c r="P192"/>
  <c r="P193"/>
  <c r="P194"/>
  <c r="P195"/>
  <c r="P196"/>
  <c r="P197"/>
  <c r="P198"/>
  <c r="P199"/>
  <c r="P200"/>
  <c r="P201"/>
  <c r="P202"/>
  <c r="P203"/>
  <c r="P204"/>
  <c r="P205"/>
  <c r="P206"/>
  <c r="P207"/>
  <c r="P208"/>
  <c r="P209"/>
  <c r="P210"/>
  <c r="P211"/>
  <c r="P212"/>
  <c r="P213"/>
  <c r="P214"/>
  <c r="P215"/>
  <c r="P216"/>
  <c r="P217"/>
  <c r="P218"/>
  <c r="P219"/>
  <c r="P220"/>
  <c r="P221"/>
  <c r="P222"/>
  <c r="P223"/>
  <c r="P224"/>
  <c r="P225"/>
  <c r="P226"/>
  <c r="P227"/>
  <c r="P228"/>
  <c r="P229"/>
  <c r="P230"/>
  <c r="P231"/>
  <c r="P232"/>
  <c r="P233"/>
  <c r="P234"/>
  <c r="P235"/>
  <c r="P236"/>
  <c r="P237"/>
  <c r="P238"/>
  <c r="P239"/>
  <c r="P240"/>
  <c r="P241"/>
  <c r="P2"/>
  <c r="O3"/>
  <c r="O4"/>
  <c r="O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O106"/>
  <c r="O107"/>
  <c r="O108"/>
  <c r="O109"/>
  <c r="O110"/>
  <c r="O111"/>
  <c r="O112"/>
  <c r="O113"/>
  <c r="O114"/>
  <c r="O115"/>
  <c r="O116"/>
  <c r="O117"/>
  <c r="O118"/>
  <c r="O119"/>
  <c r="O120"/>
  <c r="O121"/>
  <c r="O122"/>
  <c r="O123"/>
  <c r="O124"/>
  <c r="O125"/>
  <c r="O126"/>
  <c r="O127"/>
  <c r="O128"/>
  <c r="O129"/>
  <c r="O130"/>
  <c r="O131"/>
  <c r="O132"/>
  <c r="O133"/>
  <c r="O134"/>
  <c r="O135"/>
  <c r="O136"/>
  <c r="O137"/>
  <c r="O138"/>
  <c r="O139"/>
  <c r="O140"/>
  <c r="O141"/>
  <c r="O142"/>
  <c r="O143"/>
  <c r="O144"/>
  <c r="O145"/>
  <c r="O146"/>
  <c r="O147"/>
  <c r="O148"/>
  <c r="O149"/>
  <c r="O150"/>
  <c r="O151"/>
  <c r="O152"/>
  <c r="O153"/>
  <c r="O154"/>
  <c r="O155"/>
  <c r="O156"/>
  <c r="O157"/>
  <c r="O158"/>
  <c r="O159"/>
  <c r="O160"/>
  <c r="O161"/>
  <c r="O162"/>
  <c r="O163"/>
  <c r="O164"/>
  <c r="O165"/>
  <c r="O166"/>
  <c r="O167"/>
  <c r="O168"/>
  <c r="O169"/>
  <c r="O170"/>
  <c r="O171"/>
  <c r="O172"/>
  <c r="O173"/>
  <c r="O174"/>
  <c r="O175"/>
  <c r="O176"/>
  <c r="O177"/>
  <c r="O178"/>
  <c r="O179"/>
  <c r="O180"/>
  <c r="O181"/>
  <c r="O182"/>
  <c r="O183"/>
  <c r="O184"/>
  <c r="O185"/>
  <c r="O186"/>
  <c r="O187"/>
  <c r="O188"/>
  <c r="O189"/>
  <c r="O190"/>
  <c r="O191"/>
  <c r="O192"/>
  <c r="O193"/>
  <c r="O194"/>
  <c r="O195"/>
  <c r="O196"/>
  <c r="O197"/>
  <c r="O198"/>
  <c r="O199"/>
  <c r="O200"/>
  <c r="O201"/>
  <c r="O202"/>
  <c r="O203"/>
  <c r="O204"/>
  <c r="O205"/>
  <c r="O206"/>
  <c r="O207"/>
  <c r="O208"/>
  <c r="O209"/>
  <c r="O210"/>
  <c r="O211"/>
  <c r="O212"/>
  <c r="O213"/>
  <c r="O214"/>
  <c r="O215"/>
  <c r="O216"/>
  <c r="O217"/>
  <c r="O218"/>
  <c r="O219"/>
  <c r="O220"/>
  <c r="O221"/>
  <c r="O222"/>
  <c r="O223"/>
  <c r="O224"/>
  <c r="O225"/>
  <c r="O226"/>
  <c r="O227"/>
  <c r="O228"/>
  <c r="O229"/>
  <c r="O230"/>
  <c r="O231"/>
  <c r="O232"/>
  <c r="O233"/>
  <c r="O234"/>
  <c r="O235"/>
  <c r="O236"/>
  <c r="O237"/>
  <c r="O238"/>
  <c r="O239"/>
  <c r="O240"/>
  <c r="O241"/>
  <c r="O2"/>
  <c r="B6" i="2"/>
  <c r="B5"/>
  <c r="B4"/>
  <c r="B3"/>
  <c r="B2"/>
  <c r="N3" i="1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18"/>
  <c r="N119"/>
  <c r="N120"/>
  <c r="N121"/>
  <c r="N122"/>
  <c r="N123"/>
  <c r="N124"/>
  <c r="N125"/>
  <c r="N126"/>
  <c r="N127"/>
  <c r="N128"/>
  <c r="N129"/>
  <c r="N130"/>
  <c r="N131"/>
  <c r="N132"/>
  <c r="N133"/>
  <c r="N134"/>
  <c r="N135"/>
  <c r="N136"/>
  <c r="N137"/>
  <c r="N138"/>
  <c r="N139"/>
  <c r="N140"/>
  <c r="N141"/>
  <c r="N142"/>
  <c r="N143"/>
  <c r="N144"/>
  <c r="N145"/>
  <c r="N146"/>
  <c r="N147"/>
  <c r="N148"/>
  <c r="N149"/>
  <c r="N150"/>
  <c r="N151"/>
  <c r="N152"/>
  <c r="N153"/>
  <c r="N154"/>
  <c r="N155"/>
  <c r="N156"/>
  <c r="N157"/>
  <c r="N158"/>
  <c r="N159"/>
  <c r="N160"/>
  <c r="N161"/>
  <c r="N162"/>
  <c r="N163"/>
  <c r="N164"/>
  <c r="N165"/>
  <c r="N166"/>
  <c r="N167"/>
  <c r="N168"/>
  <c r="N169"/>
  <c r="N170"/>
  <c r="N171"/>
  <c r="N172"/>
  <c r="N173"/>
  <c r="N174"/>
  <c r="N175"/>
  <c r="N176"/>
  <c r="N177"/>
  <c r="N178"/>
  <c r="N179"/>
  <c r="N180"/>
  <c r="N181"/>
  <c r="N182"/>
  <c r="N183"/>
  <c r="N184"/>
  <c r="N185"/>
  <c r="N186"/>
  <c r="N187"/>
  <c r="N188"/>
  <c r="N189"/>
  <c r="N190"/>
  <c r="N191"/>
  <c r="N192"/>
  <c r="N193"/>
  <c r="N194"/>
  <c r="N195"/>
  <c r="N196"/>
  <c r="N197"/>
  <c r="N198"/>
  <c r="N199"/>
  <c r="N200"/>
  <c r="N201"/>
  <c r="N202"/>
  <c r="N203"/>
  <c r="N204"/>
  <c r="N205"/>
  <c r="N206"/>
  <c r="N207"/>
  <c r="N208"/>
  <c r="N209"/>
  <c r="N210"/>
  <c r="N211"/>
  <c r="N212"/>
  <c r="N213"/>
  <c r="N214"/>
  <c r="N215"/>
  <c r="N216"/>
  <c r="N217"/>
  <c r="N218"/>
  <c r="N219"/>
  <c r="N220"/>
  <c r="N221"/>
  <c r="N222"/>
  <c r="N223"/>
  <c r="N224"/>
  <c r="N225"/>
  <c r="N226"/>
  <c r="N227"/>
  <c r="N228"/>
  <c r="N229"/>
  <c r="N230"/>
  <c r="N231"/>
  <c r="N232"/>
  <c r="N233"/>
  <c r="N234"/>
  <c r="N235"/>
  <c r="N236"/>
  <c r="N237"/>
  <c r="N238"/>
  <c r="N239"/>
  <c r="N240"/>
  <c r="N241"/>
  <c r="N2"/>
  <c r="M3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M235"/>
  <c r="M236"/>
  <c r="M237"/>
  <c r="M238"/>
  <c r="M239"/>
  <c r="M240"/>
  <c r="M241"/>
  <c r="M2"/>
  <c r="L3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L101"/>
  <c r="L102"/>
  <c r="L103"/>
  <c r="L104"/>
  <c r="L105"/>
  <c r="L106"/>
  <c r="L107"/>
  <c r="L108"/>
  <c r="L109"/>
  <c r="L110"/>
  <c r="L111"/>
  <c r="L112"/>
  <c r="L113"/>
  <c r="L114"/>
  <c r="L115"/>
  <c r="L116"/>
  <c r="L117"/>
  <c r="L118"/>
  <c r="L119"/>
  <c r="L120"/>
  <c r="L121"/>
  <c r="L122"/>
  <c r="L123"/>
  <c r="L124"/>
  <c r="L125"/>
  <c r="L126"/>
  <c r="L127"/>
  <c r="L128"/>
  <c r="L129"/>
  <c r="L130"/>
  <c r="L131"/>
  <c r="L132"/>
  <c r="L133"/>
  <c r="L134"/>
  <c r="L135"/>
  <c r="L136"/>
  <c r="L137"/>
  <c r="L138"/>
  <c r="L139"/>
  <c r="L140"/>
  <c r="L141"/>
  <c r="L142"/>
  <c r="L143"/>
  <c r="L144"/>
  <c r="L145"/>
  <c r="L146"/>
  <c r="L147"/>
  <c r="L148"/>
  <c r="L149"/>
  <c r="L150"/>
  <c r="L151"/>
  <c r="L152"/>
  <c r="L153"/>
  <c r="L154"/>
  <c r="L155"/>
  <c r="L156"/>
  <c r="L157"/>
  <c r="L158"/>
  <c r="L159"/>
  <c r="L160"/>
  <c r="L161"/>
  <c r="L162"/>
  <c r="L163"/>
  <c r="L164"/>
  <c r="L165"/>
  <c r="L166"/>
  <c r="L167"/>
  <c r="L168"/>
  <c r="L169"/>
  <c r="L170"/>
  <c r="L171"/>
  <c r="L172"/>
  <c r="L173"/>
  <c r="L174"/>
  <c r="L175"/>
  <c r="L176"/>
  <c r="L177"/>
  <c r="L178"/>
  <c r="L179"/>
  <c r="L180"/>
  <c r="L181"/>
  <c r="L182"/>
  <c r="L183"/>
  <c r="L184"/>
  <c r="L185"/>
  <c r="L186"/>
  <c r="L187"/>
  <c r="L188"/>
  <c r="L189"/>
  <c r="L190"/>
  <c r="L191"/>
  <c r="L192"/>
  <c r="L193"/>
  <c r="L194"/>
  <c r="L195"/>
  <c r="L196"/>
  <c r="L197"/>
  <c r="L198"/>
  <c r="L199"/>
  <c r="L200"/>
  <c r="L201"/>
  <c r="L202"/>
  <c r="L203"/>
  <c r="L204"/>
  <c r="L205"/>
  <c r="L206"/>
  <c r="L207"/>
  <c r="L208"/>
  <c r="L209"/>
  <c r="L210"/>
  <c r="L211"/>
  <c r="L212"/>
  <c r="L213"/>
  <c r="L214"/>
  <c r="L215"/>
  <c r="L216"/>
  <c r="L217"/>
  <c r="L218"/>
  <c r="L219"/>
  <c r="L220"/>
  <c r="L221"/>
  <c r="L222"/>
  <c r="L223"/>
  <c r="L224"/>
  <c r="L225"/>
  <c r="L226"/>
  <c r="L227"/>
  <c r="L228"/>
  <c r="L229"/>
  <c r="L230"/>
  <c r="L231"/>
  <c r="L232"/>
  <c r="L233"/>
  <c r="L234"/>
  <c r="L235"/>
  <c r="L236"/>
  <c r="L237"/>
  <c r="L238"/>
  <c r="L239"/>
  <c r="L240"/>
  <c r="L241"/>
  <c r="L2"/>
</calcChain>
</file>

<file path=xl/sharedStrings.xml><?xml version="1.0" encoding="utf-8"?>
<sst xmlns="http://schemas.openxmlformats.org/spreadsheetml/2006/main" count="1225" uniqueCount="552">
  <si>
    <t>Employee_ID</t>
  </si>
  <si>
    <t>Name</t>
  </si>
  <si>
    <t>Department</t>
  </si>
  <si>
    <t>Role</t>
  </si>
  <si>
    <t>Performance_Rating (1–5)</t>
  </si>
  <si>
    <t>Targets_Assigned</t>
  </si>
  <si>
    <t>Targets_Achieved</t>
  </si>
  <si>
    <t>Hours_Worked</t>
  </si>
  <si>
    <t>Billable_Hours</t>
  </si>
  <si>
    <t>Training_Hours</t>
  </si>
  <si>
    <t>Manager_Feedback (Qualitative)</t>
  </si>
  <si>
    <t>EMP0001</t>
  </si>
  <si>
    <t>Employee 001</t>
  </si>
  <si>
    <t>Product</t>
  </si>
  <si>
    <t>Product Analyst</t>
  </si>
  <si>
    <t>Requires additional coaching to improve work quality and completion rates.</t>
  </si>
  <si>
    <t>EMP0002</t>
  </si>
  <si>
    <t>Employee 002</t>
  </si>
  <si>
    <t>IT</t>
  </si>
  <si>
    <t>Software Engineer</t>
  </si>
  <si>
    <t>Outstanding performer who sets a strong example in quality, delivery and collaboration.</t>
  </si>
  <si>
    <t>EMP0003</t>
  </si>
  <si>
    <t>Employee 003</t>
  </si>
  <si>
    <t>Systems Analyst</t>
  </si>
  <si>
    <t>Demonstrates reliable delivery and contributes positively to team objectives.</t>
  </si>
  <si>
    <t>EMP0004</t>
  </si>
  <si>
    <t>Employee 004</t>
  </si>
  <si>
    <t>Operations</t>
  </si>
  <si>
    <t>Operations Executive</t>
  </si>
  <si>
    <t>Shows potential but needs better time management and target achievement.</t>
  </si>
  <si>
    <t>EMP0005</t>
  </si>
  <si>
    <t>Employee 005</t>
  </si>
  <si>
    <t>HR</t>
  </si>
  <si>
    <t>HR Analyst</t>
  </si>
  <si>
    <t>Strong performance with good target achievement, quality and collaboration.</t>
  </si>
  <si>
    <t>EMP0006</t>
  </si>
  <si>
    <t>Employee 006</t>
  </si>
  <si>
    <t>Performance is satisfactory; continued focus on quality and efficiency is recommended.</t>
  </si>
  <si>
    <t>EMP0007</t>
  </si>
  <si>
    <t>Employee 007</t>
  </si>
  <si>
    <t>Consistently exceeds expectations and demonstrates strong ownership of responsibilities.</t>
  </si>
  <si>
    <t>EMP0008</t>
  </si>
  <si>
    <t>Employee 008</t>
  </si>
  <si>
    <t>Sales</t>
  </si>
  <si>
    <t>Business Development Executive</t>
  </si>
  <si>
    <t>Meets core expectations with consistent delivery across assigned responsibilities.</t>
  </si>
  <si>
    <t>EMP0009</t>
  </si>
  <si>
    <t>Employee 009</t>
  </si>
  <si>
    <t>Marketing</t>
  </si>
  <si>
    <t>Content Strategist</t>
  </si>
  <si>
    <t>EMP0010</t>
  </si>
  <si>
    <t>Employee 010</t>
  </si>
  <si>
    <t>Customer Support</t>
  </si>
  <si>
    <t>Customer Support Executive</t>
  </si>
  <si>
    <t>EMP0011</t>
  </si>
  <si>
    <t>Employee 011</t>
  </si>
  <si>
    <t>Sales Executive</t>
  </si>
  <si>
    <t>EMP0012</t>
  </si>
  <si>
    <t>Employee 012</t>
  </si>
  <si>
    <t>Finance</t>
  </si>
  <si>
    <t>Finance Executive</t>
  </si>
  <si>
    <t>Exceptional performance with outstanding target achievement and strong business contribution.</t>
  </si>
  <si>
    <t>EMP0013</t>
  </si>
  <si>
    <t>Employee 013</t>
  </si>
  <si>
    <t>Product Specialist</t>
  </si>
  <si>
    <t>EMP0014</t>
  </si>
  <si>
    <t>Employee 014</t>
  </si>
  <si>
    <t>Talent Acquisition Specialist</t>
  </si>
  <si>
    <t>EMP0015</t>
  </si>
  <si>
    <t>Employee 015</t>
  </si>
  <si>
    <t>EMP0016</t>
  </si>
  <si>
    <t>Employee 016</t>
  </si>
  <si>
    <t>Accountant</t>
  </si>
  <si>
    <t>EMP0017</t>
  </si>
  <si>
    <t>Employee 017</t>
  </si>
  <si>
    <t>Digital Marketing Specialist</t>
  </si>
  <si>
    <t>EMP0018</t>
  </si>
  <si>
    <t>Employee 018</t>
  </si>
  <si>
    <t>Needs close support to improve productivity and meet assigned expectations.</t>
  </si>
  <si>
    <t>EMP0019</t>
  </si>
  <si>
    <t>Employee 019</t>
  </si>
  <si>
    <t>Customer Success Specialist</t>
  </si>
  <si>
    <t>EMP0020</t>
  </si>
  <si>
    <t>Employee 020</t>
  </si>
  <si>
    <t>Delivers expected outcomes and responds well to routine feedback.</t>
  </si>
  <si>
    <t>EMP0021</t>
  </si>
  <si>
    <t>Employee 021</t>
  </si>
  <si>
    <t>EMP0022</t>
  </si>
  <si>
    <t>Employee 022</t>
  </si>
  <si>
    <t>Consistently delivers excellent results and demonstrates strong ownership and initiative.</t>
  </si>
  <si>
    <t>EMP0023</t>
  </si>
  <si>
    <t>Employee 023</t>
  </si>
  <si>
    <t>EMP0024</t>
  </si>
  <si>
    <t>Employee 024</t>
  </si>
  <si>
    <t>EMP0025</t>
  </si>
  <si>
    <t>Employee 025</t>
  </si>
  <si>
    <t>Account Manager</t>
  </si>
  <si>
    <t>EMP0026</t>
  </si>
  <si>
    <t>Employee 026</t>
  </si>
  <si>
    <t>EMP0027</t>
  </si>
  <si>
    <t>Employee 027</t>
  </si>
  <si>
    <t>Financial Analyst</t>
  </si>
  <si>
    <t>EMP0028</t>
  </si>
  <si>
    <t>Employee 028</t>
  </si>
  <si>
    <t>Operations Specialist</t>
  </si>
  <si>
    <t>EMP0029</t>
  </si>
  <si>
    <t>Employee 029</t>
  </si>
  <si>
    <t>EMP0030</t>
  </si>
  <si>
    <t>Employee 030</t>
  </si>
  <si>
    <t>EMP0031</t>
  </si>
  <si>
    <t>Employee 031</t>
  </si>
  <si>
    <t>EMP0032</t>
  </si>
  <si>
    <t>Employee 032</t>
  </si>
  <si>
    <t>Marketing Executive</t>
  </si>
  <si>
    <t>EMP0033</t>
  </si>
  <si>
    <t>Employee 033</t>
  </si>
  <si>
    <t>EMP0034</t>
  </si>
  <si>
    <t>Employee 034</t>
  </si>
  <si>
    <t>EMP0035</t>
  </si>
  <si>
    <t>Employee 035</t>
  </si>
  <si>
    <t>Product Manager</t>
  </si>
  <si>
    <t>EMP0036</t>
  </si>
  <si>
    <t>Employee 036</t>
  </si>
  <si>
    <t>HR Executive</t>
  </si>
  <si>
    <t>EMP0037</t>
  </si>
  <si>
    <t>Employee 037</t>
  </si>
  <si>
    <t>EMP0038</t>
  </si>
  <si>
    <t>Employee 038</t>
  </si>
  <si>
    <t>Process Analyst</t>
  </si>
  <si>
    <t>EMP0039</t>
  </si>
  <si>
    <t>Employee 039</t>
  </si>
  <si>
    <t>EMP0040</t>
  </si>
  <si>
    <t>Employee 040</t>
  </si>
  <si>
    <t>EMP0041</t>
  </si>
  <si>
    <t>Employee 041</t>
  </si>
  <si>
    <t>EMP0042</t>
  </si>
  <si>
    <t>Employee 042</t>
  </si>
  <si>
    <t>EMP0043</t>
  </si>
  <si>
    <t>Employee 043</t>
  </si>
  <si>
    <t>EMP0044</t>
  </si>
  <si>
    <t>Employee 044</t>
  </si>
  <si>
    <t>EMP0045</t>
  </si>
  <si>
    <t>Employee 045</t>
  </si>
  <si>
    <t>EMP0046</t>
  </si>
  <si>
    <t>Employee 046</t>
  </si>
  <si>
    <t>EMP0047</t>
  </si>
  <si>
    <t>Employee 047</t>
  </si>
  <si>
    <t>EMP0048</t>
  </si>
  <si>
    <t>Employee 048</t>
  </si>
  <si>
    <t>EMP0049</t>
  </si>
  <si>
    <t>Employee 049</t>
  </si>
  <si>
    <t>EMP0050</t>
  </si>
  <si>
    <t>Employee 050</t>
  </si>
  <si>
    <t>EMP0051</t>
  </si>
  <si>
    <t>Employee 051</t>
  </si>
  <si>
    <t>EMP0052</t>
  </si>
  <si>
    <t>Employee 052</t>
  </si>
  <si>
    <t>EMP0053</t>
  </si>
  <si>
    <t>Employee 053</t>
  </si>
  <si>
    <t>EMP0054</t>
  </si>
  <si>
    <t>Employee 054</t>
  </si>
  <si>
    <t>EMP0055</t>
  </si>
  <si>
    <t>Employee 055</t>
  </si>
  <si>
    <t>EMP0056</t>
  </si>
  <si>
    <t>Employee 056</t>
  </si>
  <si>
    <t>EMP0057</t>
  </si>
  <si>
    <t>Employee 057</t>
  </si>
  <si>
    <t>EMP0058</t>
  </si>
  <si>
    <t>Employee 058</t>
  </si>
  <si>
    <t>EMP0059</t>
  </si>
  <si>
    <t>Employee 059</t>
  </si>
  <si>
    <t>EMP0060</t>
  </si>
  <si>
    <t>Employee 060</t>
  </si>
  <si>
    <t>Support Analyst</t>
  </si>
  <si>
    <t>EMP0061</t>
  </si>
  <si>
    <t>Employee 061</t>
  </si>
  <si>
    <t>EMP0062</t>
  </si>
  <si>
    <t>Employee 062</t>
  </si>
  <si>
    <t>EMP0063</t>
  </si>
  <si>
    <t>Employee 063</t>
  </si>
  <si>
    <t>EMP0064</t>
  </si>
  <si>
    <t>Employee 064</t>
  </si>
  <si>
    <t>EMP0065</t>
  </si>
  <si>
    <t>Employee 065</t>
  </si>
  <si>
    <t>EMP0066</t>
  </si>
  <si>
    <t>Employee 066</t>
  </si>
  <si>
    <t>EMP0067</t>
  </si>
  <si>
    <t>Employee 067</t>
  </si>
  <si>
    <t>EMP0068</t>
  </si>
  <si>
    <t>Employee 068</t>
  </si>
  <si>
    <t>EMP0069</t>
  </si>
  <si>
    <t>Employee 069</t>
  </si>
  <si>
    <t>EMP0070</t>
  </si>
  <si>
    <t>Employee 070</t>
  </si>
  <si>
    <t>Performance is below expectations; improvement is needed in consistency and delivery.</t>
  </si>
  <si>
    <t>EMP0071</t>
  </si>
  <si>
    <t>Employee 071</t>
  </si>
  <si>
    <t>EMP0072</t>
  </si>
  <si>
    <t>Employee 072</t>
  </si>
  <si>
    <t>EMP0073</t>
  </si>
  <si>
    <t>Employee 073</t>
  </si>
  <si>
    <t>EMP0074</t>
  </si>
  <si>
    <t>Employee 074</t>
  </si>
  <si>
    <t>EMP0075</t>
  </si>
  <si>
    <t>Employee 075</t>
  </si>
  <si>
    <t>EMP0076</t>
  </si>
  <si>
    <t>Employee 076</t>
  </si>
  <si>
    <t>EMP0077</t>
  </si>
  <si>
    <t>Employee 077</t>
  </si>
  <si>
    <t>EMP0078</t>
  </si>
  <si>
    <t>Employee 078</t>
  </si>
  <si>
    <t>EMP0079</t>
  </si>
  <si>
    <t>Employee 079</t>
  </si>
  <si>
    <t>EMP0080</t>
  </si>
  <si>
    <t>Employee 080</t>
  </si>
  <si>
    <t>EMP0081</t>
  </si>
  <si>
    <t>Employee 081</t>
  </si>
  <si>
    <t>EMP0082</t>
  </si>
  <si>
    <t>Employee 082</t>
  </si>
  <si>
    <t>EMP0083</t>
  </si>
  <si>
    <t>Employee 083</t>
  </si>
  <si>
    <t>EMP0084</t>
  </si>
  <si>
    <t>Employee 084</t>
  </si>
  <si>
    <t>EMP0085</t>
  </si>
  <si>
    <t>Employee 085</t>
  </si>
  <si>
    <t>EMP0086</t>
  </si>
  <si>
    <t>Employee 086</t>
  </si>
  <si>
    <t>EMP0087</t>
  </si>
  <si>
    <t>Employee 087</t>
  </si>
  <si>
    <t>EMP0088</t>
  </si>
  <si>
    <t>Employee 088</t>
  </si>
  <si>
    <t>EMP0089</t>
  </si>
  <si>
    <t>Employee 089</t>
  </si>
  <si>
    <t>EMP0090</t>
  </si>
  <si>
    <t>Employee 090</t>
  </si>
  <si>
    <t>EMP0091</t>
  </si>
  <si>
    <t>Employee 091</t>
  </si>
  <si>
    <t>EMP0092</t>
  </si>
  <si>
    <t>Employee 092</t>
  </si>
  <si>
    <t>EMP0093</t>
  </si>
  <si>
    <t>Employee 093</t>
  </si>
  <si>
    <t>EMP0094</t>
  </si>
  <si>
    <t>Employee 094</t>
  </si>
  <si>
    <t>IT Support Specialist</t>
  </si>
  <si>
    <t>EMP0095</t>
  </si>
  <si>
    <t>Employee 095</t>
  </si>
  <si>
    <t>EMP0096</t>
  </si>
  <si>
    <t>Employee 096</t>
  </si>
  <si>
    <t>EMP0097</t>
  </si>
  <si>
    <t>Employee 097</t>
  </si>
  <si>
    <t>Requires development in quality, timeliness and completion of assigned work.</t>
  </si>
  <si>
    <t>EMP0098</t>
  </si>
  <si>
    <t>Employee 098</t>
  </si>
  <si>
    <t>EMP0099</t>
  </si>
  <si>
    <t>Employee 099</t>
  </si>
  <si>
    <t>EMP0100</t>
  </si>
  <si>
    <t>Employee 100</t>
  </si>
  <si>
    <t>EMP0101</t>
  </si>
  <si>
    <t>Employee 101</t>
  </si>
  <si>
    <t>EMP0102</t>
  </si>
  <si>
    <t>Employee 102</t>
  </si>
  <si>
    <t>EMP0103</t>
  </si>
  <si>
    <t>Employee 103</t>
  </si>
  <si>
    <t>EMP0104</t>
  </si>
  <si>
    <t>Employee 104</t>
  </si>
  <si>
    <t>EMP0105</t>
  </si>
  <si>
    <t>Employee 105</t>
  </si>
  <si>
    <t>EMP0106</t>
  </si>
  <si>
    <t>Employee 106</t>
  </si>
  <si>
    <t>EMP0107</t>
  </si>
  <si>
    <t>Employee 107</t>
  </si>
  <si>
    <t>EMP0108</t>
  </si>
  <si>
    <t>Employee 108</t>
  </si>
  <si>
    <t>EMP0109</t>
  </si>
  <si>
    <t>Employee 109</t>
  </si>
  <si>
    <t>EMP0110</t>
  </si>
  <si>
    <t>Employee 110</t>
  </si>
  <si>
    <t>EMP0111</t>
  </si>
  <si>
    <t>Employee 111</t>
  </si>
  <si>
    <t>EMP0112</t>
  </si>
  <si>
    <t>Employee 112</t>
  </si>
  <si>
    <t>EMP0113</t>
  </si>
  <si>
    <t>Employee 113</t>
  </si>
  <si>
    <t>EMP0114</t>
  </si>
  <si>
    <t>Employee 114</t>
  </si>
  <si>
    <t>EMP0115</t>
  </si>
  <si>
    <t>Employee 115</t>
  </si>
  <si>
    <t>EMP0116</t>
  </si>
  <si>
    <t>Employee 116</t>
  </si>
  <si>
    <t>EMP0117</t>
  </si>
  <si>
    <t>Employee 117</t>
  </si>
  <si>
    <t>EMP0118</t>
  </si>
  <si>
    <t>Employee 118</t>
  </si>
  <si>
    <t>EMP0119</t>
  </si>
  <si>
    <t>Employee 119</t>
  </si>
  <si>
    <t>EMP0120</t>
  </si>
  <si>
    <t>Employee 120</t>
  </si>
  <si>
    <t>EMP0121</t>
  </si>
  <si>
    <t>Employee 121</t>
  </si>
  <si>
    <t>EMP0122</t>
  </si>
  <si>
    <t>Employee 122</t>
  </si>
  <si>
    <t>EMP0123</t>
  </si>
  <si>
    <t>Employee 123</t>
  </si>
  <si>
    <t>EMP0124</t>
  </si>
  <si>
    <t>Employee 124</t>
  </si>
  <si>
    <t>EMP0125</t>
  </si>
  <si>
    <t>Employee 125</t>
  </si>
  <si>
    <t>EMP0126</t>
  </si>
  <si>
    <t>Employee 126</t>
  </si>
  <si>
    <t>EMP0127</t>
  </si>
  <si>
    <t>Employee 127</t>
  </si>
  <si>
    <t>EMP0128</t>
  </si>
  <si>
    <t>Employee 128</t>
  </si>
  <si>
    <t>EMP0129</t>
  </si>
  <si>
    <t>Employee 129</t>
  </si>
  <si>
    <t>Performance requires significant improvement in target achievement and consistency.</t>
  </si>
  <si>
    <t>EMP0130</t>
  </si>
  <si>
    <t>Employee 130</t>
  </si>
  <si>
    <t>EMP0131</t>
  </si>
  <si>
    <t>Employee 131</t>
  </si>
  <si>
    <t>EMP0132</t>
  </si>
  <si>
    <t>Employee 132</t>
  </si>
  <si>
    <t>EMP0133</t>
  </si>
  <si>
    <t>Employee 133</t>
  </si>
  <si>
    <t>EMP0134</t>
  </si>
  <si>
    <t>Employee 134</t>
  </si>
  <si>
    <t>EMP0135</t>
  </si>
  <si>
    <t>Employee 135</t>
  </si>
  <si>
    <t>EMP0136</t>
  </si>
  <si>
    <t>Employee 136</t>
  </si>
  <si>
    <t>EMP0137</t>
  </si>
  <si>
    <t>Employee 137</t>
  </si>
  <si>
    <t>EMP0138</t>
  </si>
  <si>
    <t>Employee 138</t>
  </si>
  <si>
    <t>EMP0139</t>
  </si>
  <si>
    <t>Employee 139</t>
  </si>
  <si>
    <t>EMP0140</t>
  </si>
  <si>
    <t>Employee 140</t>
  </si>
  <si>
    <t>EMP0141</t>
  </si>
  <si>
    <t>Employee 141</t>
  </si>
  <si>
    <t>EMP0142</t>
  </si>
  <si>
    <t>Employee 142</t>
  </si>
  <si>
    <t>EMP0143</t>
  </si>
  <si>
    <t>Employee 143</t>
  </si>
  <si>
    <t>EMP0144</t>
  </si>
  <si>
    <t>Employee 144</t>
  </si>
  <si>
    <t>EMP0145</t>
  </si>
  <si>
    <t>Employee 145</t>
  </si>
  <si>
    <t>EMP0146</t>
  </si>
  <si>
    <t>Employee 146</t>
  </si>
  <si>
    <t>EMP0147</t>
  </si>
  <si>
    <t>Employee 147</t>
  </si>
  <si>
    <t>EMP0148</t>
  </si>
  <si>
    <t>Employee 148</t>
  </si>
  <si>
    <t>EMP0149</t>
  </si>
  <si>
    <t>Employee 149</t>
  </si>
  <si>
    <t>EMP0150</t>
  </si>
  <si>
    <t>Employee 150</t>
  </si>
  <si>
    <t>EMP0151</t>
  </si>
  <si>
    <t>Employee 151</t>
  </si>
  <si>
    <t>EMP0152</t>
  </si>
  <si>
    <t>Employee 152</t>
  </si>
  <si>
    <t>EMP0153</t>
  </si>
  <si>
    <t>Employee 153</t>
  </si>
  <si>
    <t>EMP0154</t>
  </si>
  <si>
    <t>Employee 154</t>
  </si>
  <si>
    <t>EMP0155</t>
  </si>
  <si>
    <t>Employee 155</t>
  </si>
  <si>
    <t>EMP0156</t>
  </si>
  <si>
    <t>Employee 156</t>
  </si>
  <si>
    <t>EMP0157</t>
  </si>
  <si>
    <t>Employee 157</t>
  </si>
  <si>
    <t>EMP0158</t>
  </si>
  <si>
    <t>Employee 158</t>
  </si>
  <si>
    <t>EMP0159</t>
  </si>
  <si>
    <t>Employee 159</t>
  </si>
  <si>
    <t>EMP0160</t>
  </si>
  <si>
    <t>Employee 160</t>
  </si>
  <si>
    <t>EMP0161</t>
  </si>
  <si>
    <t>Employee 161</t>
  </si>
  <si>
    <t>EMP0162</t>
  </si>
  <si>
    <t>Employee 162</t>
  </si>
  <si>
    <t>EMP0163</t>
  </si>
  <si>
    <t>Employee 163</t>
  </si>
  <si>
    <t>EMP0164</t>
  </si>
  <si>
    <t>Employee 164</t>
  </si>
  <si>
    <t>EMP0165</t>
  </si>
  <si>
    <t>Employee 165</t>
  </si>
  <si>
    <t>EMP0166</t>
  </si>
  <si>
    <t>Employee 166</t>
  </si>
  <si>
    <t>EMP0167</t>
  </si>
  <si>
    <t>Employee 167</t>
  </si>
  <si>
    <t>EMP0168</t>
  </si>
  <si>
    <t>Employee 168</t>
  </si>
  <si>
    <t>EMP0169</t>
  </si>
  <si>
    <t>Employee 169</t>
  </si>
  <si>
    <t>EMP0170</t>
  </si>
  <si>
    <t>Employee 170</t>
  </si>
  <si>
    <t>EMP0171</t>
  </si>
  <si>
    <t>Employee 171</t>
  </si>
  <si>
    <t>EMP0172</t>
  </si>
  <si>
    <t>Employee 172</t>
  </si>
  <si>
    <t>EMP0173</t>
  </si>
  <si>
    <t>Employee 173</t>
  </si>
  <si>
    <t>EMP0174</t>
  </si>
  <si>
    <t>Employee 174</t>
  </si>
  <si>
    <t>EMP0175</t>
  </si>
  <si>
    <t>Employee 175</t>
  </si>
  <si>
    <t>EMP0176</t>
  </si>
  <si>
    <t>Employee 176</t>
  </si>
  <si>
    <t>EMP0177</t>
  </si>
  <si>
    <t>Employee 177</t>
  </si>
  <si>
    <t>EMP0178</t>
  </si>
  <si>
    <t>Employee 178</t>
  </si>
  <si>
    <t>EMP0179</t>
  </si>
  <si>
    <t>Employee 179</t>
  </si>
  <si>
    <t>EMP0180</t>
  </si>
  <si>
    <t>Employee 180</t>
  </si>
  <si>
    <t>EMP0181</t>
  </si>
  <si>
    <t>Employee 181</t>
  </si>
  <si>
    <t>EMP0182</t>
  </si>
  <si>
    <t>Employee 182</t>
  </si>
  <si>
    <t>EMP0183</t>
  </si>
  <si>
    <t>Employee 183</t>
  </si>
  <si>
    <t>EMP0184</t>
  </si>
  <si>
    <t>Employee 184</t>
  </si>
  <si>
    <t>EMP0185</t>
  </si>
  <si>
    <t>Employee 185</t>
  </si>
  <si>
    <t>EMP0186</t>
  </si>
  <si>
    <t>Employee 186</t>
  </si>
  <si>
    <t>EMP0187</t>
  </si>
  <si>
    <t>Employee 187</t>
  </si>
  <si>
    <t>EMP0188</t>
  </si>
  <si>
    <t>Employee 188</t>
  </si>
  <si>
    <t>EMP0189</t>
  </si>
  <si>
    <t>Employee 189</t>
  </si>
  <si>
    <t>EMP0190</t>
  </si>
  <si>
    <t>Employee 190</t>
  </si>
  <si>
    <t>EMP0191</t>
  </si>
  <si>
    <t>Employee 191</t>
  </si>
  <si>
    <t>EMP0192</t>
  </si>
  <si>
    <t>Employee 192</t>
  </si>
  <si>
    <t>EMP0193</t>
  </si>
  <si>
    <t>Employee 193</t>
  </si>
  <si>
    <t>EMP0194</t>
  </si>
  <si>
    <t>Employee 194</t>
  </si>
  <si>
    <t>EMP0195</t>
  </si>
  <si>
    <t>Employee 195</t>
  </si>
  <si>
    <t>EMP0196</t>
  </si>
  <si>
    <t>Employee 196</t>
  </si>
  <si>
    <t>EMP0197</t>
  </si>
  <si>
    <t>Employee 197</t>
  </si>
  <si>
    <t>EMP0198</t>
  </si>
  <si>
    <t>Employee 198</t>
  </si>
  <si>
    <t>EMP0199</t>
  </si>
  <si>
    <t>Employee 199</t>
  </si>
  <si>
    <t>EMP0200</t>
  </si>
  <si>
    <t>Employee 200</t>
  </si>
  <si>
    <t>EMP0201</t>
  </si>
  <si>
    <t>Employee 201</t>
  </si>
  <si>
    <t>EMP0202</t>
  </si>
  <si>
    <t>Employee 202</t>
  </si>
  <si>
    <t>EMP0203</t>
  </si>
  <si>
    <t>Employee 203</t>
  </si>
  <si>
    <t>EMP0204</t>
  </si>
  <si>
    <t>Employee 204</t>
  </si>
  <si>
    <t>EMP0205</t>
  </si>
  <si>
    <t>Employee 205</t>
  </si>
  <si>
    <t>EMP0206</t>
  </si>
  <si>
    <t>Employee 206</t>
  </si>
  <si>
    <t>EMP0207</t>
  </si>
  <si>
    <t>Employee 207</t>
  </si>
  <si>
    <t>EMP0208</t>
  </si>
  <si>
    <t>Employee 208</t>
  </si>
  <si>
    <t>EMP0209</t>
  </si>
  <si>
    <t>Employee 209</t>
  </si>
  <si>
    <t>EMP0210</t>
  </si>
  <si>
    <t>Employee 210</t>
  </si>
  <si>
    <t>EMP0211</t>
  </si>
  <si>
    <t>Employee 211</t>
  </si>
  <si>
    <t>EMP0212</t>
  </si>
  <si>
    <t>Employee 212</t>
  </si>
  <si>
    <t>EMP0213</t>
  </si>
  <si>
    <t>Employee 213</t>
  </si>
  <si>
    <t>EMP0214</t>
  </si>
  <si>
    <t>Employee 214</t>
  </si>
  <si>
    <t>EMP0215</t>
  </si>
  <si>
    <t>Employee 215</t>
  </si>
  <si>
    <t>EMP0216</t>
  </si>
  <si>
    <t>Employee 216</t>
  </si>
  <si>
    <t>EMP0217</t>
  </si>
  <si>
    <t>Employee 217</t>
  </si>
  <si>
    <t>EMP0218</t>
  </si>
  <si>
    <t>Employee 218</t>
  </si>
  <si>
    <t>EMP0219</t>
  </si>
  <si>
    <t>Employee 219</t>
  </si>
  <si>
    <t>EMP0220</t>
  </si>
  <si>
    <t>Employee 220</t>
  </si>
  <si>
    <t>EMP0221</t>
  </si>
  <si>
    <t>Employee 221</t>
  </si>
  <si>
    <t>EMP0222</t>
  </si>
  <si>
    <t>Employee 222</t>
  </si>
  <si>
    <t>EMP0223</t>
  </si>
  <si>
    <t>Employee 223</t>
  </si>
  <si>
    <t>EMP0224</t>
  </si>
  <si>
    <t>Employee 224</t>
  </si>
  <si>
    <t>EMP0225</t>
  </si>
  <si>
    <t>Employee 225</t>
  </si>
  <si>
    <t>EMP0226</t>
  </si>
  <si>
    <t>Employee 226</t>
  </si>
  <si>
    <t>EMP0227</t>
  </si>
  <si>
    <t>Employee 227</t>
  </si>
  <si>
    <t>EMP0228</t>
  </si>
  <si>
    <t>Employee 228</t>
  </si>
  <si>
    <t>EMP0229</t>
  </si>
  <si>
    <t>Employee 229</t>
  </si>
  <si>
    <t>EMP0230</t>
  </si>
  <si>
    <t>Employee 230</t>
  </si>
  <si>
    <t>EMP0231</t>
  </si>
  <si>
    <t>Employee 231</t>
  </si>
  <si>
    <t>EMP0232</t>
  </si>
  <si>
    <t>Employee 232</t>
  </si>
  <si>
    <t>EMP0233</t>
  </si>
  <si>
    <t>Employee 233</t>
  </si>
  <si>
    <t>EMP0234</t>
  </si>
  <si>
    <t>Employee 234</t>
  </si>
  <si>
    <t>EMP0235</t>
  </si>
  <si>
    <t>Employee 235</t>
  </si>
  <si>
    <t>EMP0236</t>
  </si>
  <si>
    <t>Employee 236</t>
  </si>
  <si>
    <t>EMP0237</t>
  </si>
  <si>
    <t>Employee 237</t>
  </si>
  <si>
    <t>EMP0238</t>
  </si>
  <si>
    <t>Employee 238</t>
  </si>
  <si>
    <t>EMP0239</t>
  </si>
  <si>
    <t>Employee 239</t>
  </si>
  <si>
    <t>EMP0240</t>
  </si>
  <si>
    <t>Employee 240</t>
  </si>
  <si>
    <t>Utilization %</t>
  </si>
  <si>
    <t>Target Achievement %</t>
  </si>
  <si>
    <t>Training_Hours_Category</t>
  </si>
  <si>
    <t>KPI</t>
  </si>
  <si>
    <t>Value</t>
  </si>
  <si>
    <t>Avg Performance Rating</t>
  </si>
  <si>
    <t>High Performer %</t>
  </si>
  <si>
    <t>Avg Utilization %</t>
  </si>
  <si>
    <t>Avg Target Achievement %</t>
  </si>
  <si>
    <t>Avg Training Hours per Employee</t>
  </si>
  <si>
    <t>Performance Category</t>
  </si>
  <si>
    <t>Productivity Category</t>
  </si>
  <si>
    <t>Manager</t>
  </si>
  <si>
    <t>Review Month</t>
  </si>
</sst>
</file>

<file path=xl/styles.xml><?xml version="1.0" encoding="utf-8"?>
<styleSheet xmlns="http://schemas.openxmlformats.org/spreadsheetml/2006/main">
  <numFmts count="1">
    <numFmt numFmtId="180" formatCode="[$-409]mmm\-yy;@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2" fontId="1" fillId="2" borderId="1" xfId="0" applyNumberFormat="1" applyFont="1" applyFill="1" applyBorder="1" applyAlignment="1">
      <alignment horizontal="center" vertical="center" wrapText="1"/>
    </xf>
    <xf numFmtId="10" fontId="1" fillId="2" borderId="2" xfId="0" applyNumberFormat="1" applyFont="1" applyFill="1" applyBorder="1" applyAlignment="1">
      <alignment horizontal="center" vertical="center" wrapText="1"/>
    </xf>
    <xf numFmtId="10" fontId="0" fillId="0" borderId="0" xfId="0" applyNumberFormat="1"/>
    <xf numFmtId="0" fontId="2" fillId="3" borderId="0" xfId="0" applyFont="1" applyFill="1" applyAlignment="1">
      <alignment horizontal="center"/>
    </xf>
    <xf numFmtId="2" fontId="0" fillId="0" borderId="0" xfId="0" applyNumberFormat="1"/>
    <xf numFmtId="1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80" fontId="2" fillId="3" borderId="0" xfId="0" applyNumberFormat="1" applyFont="1" applyFill="1" applyAlignment="1">
      <alignment horizontal="center" vertical="center"/>
    </xf>
    <xf numFmtId="18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41"/>
  <sheetViews>
    <sheetView tabSelected="1" topLeftCell="L1" workbookViewId="0">
      <pane ySplit="1" topLeftCell="A194" activePane="bottomLeft" state="frozen"/>
      <selection pane="bottomLeft" activeCell="R1" sqref="R1:R1048576"/>
    </sheetView>
  </sheetViews>
  <sheetFormatPr defaultRowHeight="14.4"/>
  <cols>
    <col min="1" max="1" width="14" customWidth="1"/>
    <col min="2" max="2" width="20" customWidth="1"/>
    <col min="3" max="3" width="18" customWidth="1"/>
    <col min="4" max="4" width="30" customWidth="1"/>
    <col min="5" max="5" width="24" customWidth="1"/>
    <col min="6" max="7" width="18" customWidth="1"/>
    <col min="8" max="8" width="15" customWidth="1"/>
    <col min="9" max="10" width="16" customWidth="1"/>
    <col min="11" max="11" width="72" customWidth="1"/>
    <col min="12" max="12" width="17.109375" style="6" customWidth="1"/>
    <col min="13" max="13" width="20.5546875" style="6" customWidth="1"/>
    <col min="14" max="14" width="22.21875" customWidth="1"/>
    <col min="15" max="15" width="22" customWidth="1"/>
    <col min="16" max="16" width="20.6640625" customWidth="1"/>
    <col min="17" max="17" width="18" customWidth="1"/>
    <col min="18" max="18" width="19" style="13" customWidth="1"/>
  </cols>
  <sheetData>
    <row r="1" spans="1:18" ht="31.95" customHeight="1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" t="s">
        <v>10</v>
      </c>
      <c r="L1" s="5" t="s">
        <v>538</v>
      </c>
      <c r="M1" s="9" t="s">
        <v>539</v>
      </c>
      <c r="N1" s="10" t="s">
        <v>540</v>
      </c>
      <c r="O1" s="10" t="s">
        <v>548</v>
      </c>
      <c r="P1" s="10" t="s">
        <v>549</v>
      </c>
      <c r="Q1" s="11" t="s">
        <v>550</v>
      </c>
      <c r="R1" s="12" t="s">
        <v>551</v>
      </c>
    </row>
    <row r="2" spans="1:18">
      <c r="A2" s="2" t="s">
        <v>11</v>
      </c>
      <c r="B2" s="2" t="s">
        <v>12</v>
      </c>
      <c r="C2" s="2" t="s">
        <v>13</v>
      </c>
      <c r="D2" s="2" t="s">
        <v>14</v>
      </c>
      <c r="E2" s="2">
        <v>2</v>
      </c>
      <c r="F2" s="2">
        <v>17</v>
      </c>
      <c r="G2" s="2">
        <v>10</v>
      </c>
      <c r="H2" s="2">
        <v>180</v>
      </c>
      <c r="I2" s="2">
        <v>103</v>
      </c>
      <c r="J2" s="2">
        <v>20</v>
      </c>
      <c r="K2" s="3" t="s">
        <v>15</v>
      </c>
      <c r="L2" s="6">
        <f>IFERROR(I2/H2,0)</f>
        <v>0.57222222222222219</v>
      </c>
      <c r="M2" s="6">
        <f>IFERROR(G2/F2,0)</f>
        <v>0.58823529411764708</v>
      </c>
      <c r="N2" t="str">
        <f>IF(J2&lt;10,"Low",IF(J2&lt;=20,"Medium","High"))</f>
        <v>Medium</v>
      </c>
      <c r="O2" t="str">
        <f>IF(AND(E2&gt;=4,L2&gt;=80%),"Star Performer",IF(E2&gt;=3,"Meets Expectations","Needs Improvement"))</f>
        <v>Needs Improvement</v>
      </c>
      <c r="P2" t="str">
        <f>IF(M2&gt;=90%,"High Productivity",IF(M2&gt;=60%,"Medium Productivity","Low Productivity"))</f>
        <v>Low Productivity</v>
      </c>
      <c r="Q2" t="str">
        <f>IF(C2="Sales","Arjun Mehta",IF(C2="Marketing","Priya Nair",IF(C2="Finance","Rahul Sharma",IF(C2="HR","Ananya Iyer",IF(C2="Operations","Vikram Rao",IF(C2="IT","Karthik Menon",IF(C2="Product","Neha Kapoor","Rohan Verma")))))))</f>
        <v>Neha Kapoor</v>
      </c>
      <c r="R2" s="13">
        <f>DATE(2026,MOD(ROW()-2,12)+1,1)</f>
        <v>46023</v>
      </c>
    </row>
    <row r="3" spans="1:18" ht="28.8">
      <c r="A3" s="2" t="s">
        <v>16</v>
      </c>
      <c r="B3" s="2" t="s">
        <v>17</v>
      </c>
      <c r="C3" s="2" t="s">
        <v>18</v>
      </c>
      <c r="D3" s="2" t="s">
        <v>19</v>
      </c>
      <c r="E3" s="2">
        <v>5</v>
      </c>
      <c r="F3" s="2">
        <v>21</v>
      </c>
      <c r="G3" s="2">
        <v>22</v>
      </c>
      <c r="H3" s="2">
        <v>170</v>
      </c>
      <c r="I3" s="2">
        <v>108</v>
      </c>
      <c r="J3" s="2">
        <v>9</v>
      </c>
      <c r="K3" s="3" t="s">
        <v>20</v>
      </c>
      <c r="L3" s="6">
        <f t="shared" ref="L3:L66" si="0">IFERROR(I3/H3,0)</f>
        <v>0.63529411764705879</v>
      </c>
      <c r="M3" s="6">
        <f t="shared" ref="M3:M66" si="1">IFERROR(G3/F3,0)</f>
        <v>1.0476190476190477</v>
      </c>
      <c r="N3" t="str">
        <f t="shared" ref="N3:N66" si="2">IF(J3&lt;10,"Low",IF(J3&lt;=20,"Medium","High"))</f>
        <v>Low</v>
      </c>
      <c r="O3" t="str">
        <f t="shared" ref="O3:O66" si="3">IF(AND(E3&gt;=4,L3&gt;=80%),"Star Performer",IF(E3&gt;=3,"Meets Expectations","Needs Improvement"))</f>
        <v>Meets Expectations</v>
      </c>
      <c r="P3" t="str">
        <f t="shared" ref="P3:P66" si="4">IF(M3&gt;=90%,"High Productivity",IF(M3&gt;=60%,"Medium Productivity","Low Productivity"))</f>
        <v>High Productivity</v>
      </c>
      <c r="Q3" t="str">
        <f t="shared" ref="Q3:Q66" si="5">IF(C3="Sales","Arjun Mehta",IF(C3="Marketing","Priya Nair",IF(C3="Finance","Rahul Sharma",IF(C3="HR","Ananya Iyer",IF(C3="Operations","Vikram Rao",IF(C3="IT","Karthik Menon",IF(C3="Product","Neha Kapoor","Rohan Verma")))))))</f>
        <v>Karthik Menon</v>
      </c>
      <c r="R3" s="13">
        <f t="shared" ref="R3:R66" si="6">DATE(2026,MOD(ROW()-2,12)+1,1)</f>
        <v>46054</v>
      </c>
    </row>
    <row r="4" spans="1:18">
      <c r="A4" s="2" t="s">
        <v>21</v>
      </c>
      <c r="B4" s="2" t="s">
        <v>22</v>
      </c>
      <c r="C4" s="2" t="s">
        <v>18</v>
      </c>
      <c r="D4" s="2" t="s">
        <v>23</v>
      </c>
      <c r="E4" s="2">
        <v>4</v>
      </c>
      <c r="F4" s="2">
        <v>12</v>
      </c>
      <c r="G4" s="2">
        <v>11</v>
      </c>
      <c r="H4" s="2">
        <v>175</v>
      </c>
      <c r="I4" s="2">
        <v>134</v>
      </c>
      <c r="J4" s="2">
        <v>9</v>
      </c>
      <c r="K4" s="3" t="s">
        <v>24</v>
      </c>
      <c r="L4" s="6">
        <f t="shared" si="0"/>
        <v>0.76571428571428568</v>
      </c>
      <c r="M4" s="6">
        <f t="shared" si="1"/>
        <v>0.91666666666666663</v>
      </c>
      <c r="N4" t="str">
        <f t="shared" si="2"/>
        <v>Low</v>
      </c>
      <c r="O4" t="str">
        <f t="shared" si="3"/>
        <v>Meets Expectations</v>
      </c>
      <c r="P4" t="str">
        <f t="shared" si="4"/>
        <v>High Productivity</v>
      </c>
      <c r="Q4" t="str">
        <f t="shared" si="5"/>
        <v>Karthik Menon</v>
      </c>
      <c r="R4" s="13">
        <f t="shared" si="6"/>
        <v>46082</v>
      </c>
    </row>
    <row r="5" spans="1:18">
      <c r="A5" s="2" t="s">
        <v>25</v>
      </c>
      <c r="B5" s="2" t="s">
        <v>26</v>
      </c>
      <c r="C5" s="2" t="s">
        <v>27</v>
      </c>
      <c r="D5" s="2" t="s">
        <v>28</v>
      </c>
      <c r="E5" s="2">
        <v>2</v>
      </c>
      <c r="F5" s="2">
        <v>13</v>
      </c>
      <c r="G5" s="2">
        <v>9</v>
      </c>
      <c r="H5" s="2">
        <v>185</v>
      </c>
      <c r="I5" s="2">
        <v>112</v>
      </c>
      <c r="J5" s="2">
        <v>15</v>
      </c>
      <c r="K5" s="3" t="s">
        <v>29</v>
      </c>
      <c r="L5" s="6">
        <f t="shared" si="0"/>
        <v>0.60540540540540544</v>
      </c>
      <c r="M5" s="6">
        <f t="shared" si="1"/>
        <v>0.69230769230769229</v>
      </c>
      <c r="N5" t="str">
        <f t="shared" si="2"/>
        <v>Medium</v>
      </c>
      <c r="O5" t="str">
        <f t="shared" si="3"/>
        <v>Needs Improvement</v>
      </c>
      <c r="P5" t="str">
        <f t="shared" si="4"/>
        <v>Medium Productivity</v>
      </c>
      <c r="Q5" t="str">
        <f t="shared" si="5"/>
        <v>Vikram Rao</v>
      </c>
      <c r="R5" s="13">
        <f t="shared" si="6"/>
        <v>46113</v>
      </c>
    </row>
    <row r="6" spans="1:18">
      <c r="A6" s="2" t="s">
        <v>30</v>
      </c>
      <c r="B6" s="2" t="s">
        <v>31</v>
      </c>
      <c r="C6" s="2" t="s">
        <v>32</v>
      </c>
      <c r="D6" s="2" t="s">
        <v>33</v>
      </c>
      <c r="E6" s="2">
        <v>4</v>
      </c>
      <c r="F6" s="2">
        <v>19</v>
      </c>
      <c r="G6" s="2">
        <v>17</v>
      </c>
      <c r="H6" s="2">
        <v>175</v>
      </c>
      <c r="I6" s="2">
        <v>52</v>
      </c>
      <c r="J6" s="2">
        <v>11</v>
      </c>
      <c r="K6" s="3" t="s">
        <v>34</v>
      </c>
      <c r="L6" s="6">
        <f t="shared" si="0"/>
        <v>0.29714285714285715</v>
      </c>
      <c r="M6" s="6">
        <f t="shared" si="1"/>
        <v>0.89473684210526316</v>
      </c>
      <c r="N6" t="str">
        <f t="shared" si="2"/>
        <v>Medium</v>
      </c>
      <c r="O6" t="str">
        <f t="shared" si="3"/>
        <v>Meets Expectations</v>
      </c>
      <c r="P6" t="str">
        <f t="shared" si="4"/>
        <v>Medium Productivity</v>
      </c>
      <c r="Q6" t="str">
        <f t="shared" si="5"/>
        <v>Ananya Iyer</v>
      </c>
      <c r="R6" s="13">
        <f t="shared" si="6"/>
        <v>46143</v>
      </c>
    </row>
    <row r="7" spans="1:18" ht="28.8">
      <c r="A7" s="2" t="s">
        <v>35</v>
      </c>
      <c r="B7" s="2" t="s">
        <v>36</v>
      </c>
      <c r="C7" s="2" t="s">
        <v>18</v>
      </c>
      <c r="D7" s="2" t="s">
        <v>23</v>
      </c>
      <c r="E7" s="2">
        <v>3</v>
      </c>
      <c r="F7" s="2">
        <v>13</v>
      </c>
      <c r="G7" s="2">
        <v>11</v>
      </c>
      <c r="H7" s="2">
        <v>188</v>
      </c>
      <c r="I7" s="2">
        <v>112</v>
      </c>
      <c r="J7" s="2">
        <v>3</v>
      </c>
      <c r="K7" s="3" t="s">
        <v>37</v>
      </c>
      <c r="L7" s="6">
        <f t="shared" si="0"/>
        <v>0.5957446808510638</v>
      </c>
      <c r="M7" s="6">
        <f t="shared" si="1"/>
        <v>0.84615384615384615</v>
      </c>
      <c r="N7" t="str">
        <f t="shared" si="2"/>
        <v>Low</v>
      </c>
      <c r="O7" t="str">
        <f t="shared" si="3"/>
        <v>Meets Expectations</v>
      </c>
      <c r="P7" t="str">
        <f t="shared" si="4"/>
        <v>Medium Productivity</v>
      </c>
      <c r="Q7" t="str">
        <f t="shared" si="5"/>
        <v>Karthik Menon</v>
      </c>
      <c r="R7" s="13">
        <f t="shared" si="6"/>
        <v>46174</v>
      </c>
    </row>
    <row r="8" spans="1:18" ht="28.8">
      <c r="A8" s="2" t="s">
        <v>38</v>
      </c>
      <c r="B8" s="2" t="s">
        <v>39</v>
      </c>
      <c r="C8" s="2" t="s">
        <v>13</v>
      </c>
      <c r="D8" s="2" t="s">
        <v>14</v>
      </c>
      <c r="E8" s="2">
        <v>4</v>
      </c>
      <c r="F8" s="2">
        <v>18</v>
      </c>
      <c r="G8" s="2">
        <v>18</v>
      </c>
      <c r="H8" s="2">
        <v>151</v>
      </c>
      <c r="I8" s="2">
        <v>86</v>
      </c>
      <c r="J8" s="2">
        <v>8</v>
      </c>
      <c r="K8" s="3" t="s">
        <v>40</v>
      </c>
      <c r="L8" s="6">
        <f t="shared" si="0"/>
        <v>0.56953642384105962</v>
      </c>
      <c r="M8" s="6">
        <f t="shared" si="1"/>
        <v>1</v>
      </c>
      <c r="N8" t="str">
        <f t="shared" si="2"/>
        <v>Low</v>
      </c>
      <c r="O8" t="str">
        <f t="shared" si="3"/>
        <v>Meets Expectations</v>
      </c>
      <c r="P8" t="str">
        <f t="shared" si="4"/>
        <v>High Productivity</v>
      </c>
      <c r="Q8" t="str">
        <f t="shared" si="5"/>
        <v>Neha Kapoor</v>
      </c>
      <c r="R8" s="13">
        <f t="shared" si="6"/>
        <v>46204</v>
      </c>
    </row>
    <row r="9" spans="1:18">
      <c r="A9" s="2" t="s">
        <v>41</v>
      </c>
      <c r="B9" s="2" t="s">
        <v>42</v>
      </c>
      <c r="C9" s="2" t="s">
        <v>43</v>
      </c>
      <c r="D9" s="2" t="s">
        <v>44</v>
      </c>
      <c r="E9" s="2">
        <v>3</v>
      </c>
      <c r="F9" s="2">
        <v>12</v>
      </c>
      <c r="G9" s="2">
        <v>11</v>
      </c>
      <c r="H9" s="2">
        <v>188</v>
      </c>
      <c r="I9" s="2">
        <v>122</v>
      </c>
      <c r="J9" s="2">
        <v>13</v>
      </c>
      <c r="K9" s="3" t="s">
        <v>45</v>
      </c>
      <c r="L9" s="6">
        <f t="shared" si="0"/>
        <v>0.64893617021276595</v>
      </c>
      <c r="M9" s="6">
        <f t="shared" si="1"/>
        <v>0.91666666666666663</v>
      </c>
      <c r="N9" t="str">
        <f t="shared" si="2"/>
        <v>Medium</v>
      </c>
      <c r="O9" t="str">
        <f t="shared" si="3"/>
        <v>Meets Expectations</v>
      </c>
      <c r="P9" t="str">
        <f t="shared" si="4"/>
        <v>High Productivity</v>
      </c>
      <c r="Q9" t="str">
        <f t="shared" si="5"/>
        <v>Arjun Mehta</v>
      </c>
      <c r="R9" s="13">
        <f t="shared" si="6"/>
        <v>46235</v>
      </c>
    </row>
    <row r="10" spans="1:18">
      <c r="A10" s="2" t="s">
        <v>46</v>
      </c>
      <c r="B10" s="2" t="s">
        <v>47</v>
      </c>
      <c r="C10" s="2" t="s">
        <v>48</v>
      </c>
      <c r="D10" s="2" t="s">
        <v>49</v>
      </c>
      <c r="E10" s="2">
        <v>4</v>
      </c>
      <c r="F10" s="2">
        <v>18</v>
      </c>
      <c r="G10" s="2">
        <v>17</v>
      </c>
      <c r="H10" s="2">
        <v>192</v>
      </c>
      <c r="I10" s="2">
        <v>92</v>
      </c>
      <c r="J10" s="2">
        <v>6</v>
      </c>
      <c r="K10" s="3" t="s">
        <v>34</v>
      </c>
      <c r="L10" s="6">
        <f t="shared" si="0"/>
        <v>0.47916666666666669</v>
      </c>
      <c r="M10" s="6">
        <f t="shared" si="1"/>
        <v>0.94444444444444442</v>
      </c>
      <c r="N10" t="str">
        <f t="shared" si="2"/>
        <v>Low</v>
      </c>
      <c r="O10" t="str">
        <f t="shared" si="3"/>
        <v>Meets Expectations</v>
      </c>
      <c r="P10" t="str">
        <f t="shared" si="4"/>
        <v>High Productivity</v>
      </c>
      <c r="Q10" t="str">
        <f t="shared" si="5"/>
        <v>Priya Nair</v>
      </c>
      <c r="R10" s="13">
        <f t="shared" si="6"/>
        <v>46266</v>
      </c>
    </row>
    <row r="11" spans="1:18">
      <c r="A11" s="2" t="s">
        <v>50</v>
      </c>
      <c r="B11" s="2" t="s">
        <v>51</v>
      </c>
      <c r="C11" s="2" t="s">
        <v>52</v>
      </c>
      <c r="D11" s="2" t="s">
        <v>53</v>
      </c>
      <c r="E11" s="2">
        <v>4</v>
      </c>
      <c r="F11" s="2">
        <v>19</v>
      </c>
      <c r="G11" s="2">
        <v>19</v>
      </c>
      <c r="H11" s="2">
        <v>152</v>
      </c>
      <c r="I11" s="2">
        <v>113</v>
      </c>
      <c r="J11" s="2">
        <v>9</v>
      </c>
      <c r="K11" s="3" t="s">
        <v>24</v>
      </c>
      <c r="L11" s="6">
        <f t="shared" si="0"/>
        <v>0.74342105263157898</v>
      </c>
      <c r="M11" s="6">
        <f t="shared" si="1"/>
        <v>1</v>
      </c>
      <c r="N11" t="str">
        <f t="shared" si="2"/>
        <v>Low</v>
      </c>
      <c r="O11" t="str">
        <f t="shared" si="3"/>
        <v>Meets Expectations</v>
      </c>
      <c r="P11" t="str">
        <f t="shared" si="4"/>
        <v>High Productivity</v>
      </c>
      <c r="Q11" t="str">
        <f t="shared" si="5"/>
        <v>Rohan Verma</v>
      </c>
      <c r="R11" s="13">
        <f t="shared" si="6"/>
        <v>46296</v>
      </c>
    </row>
    <row r="12" spans="1:18">
      <c r="A12" s="2" t="s">
        <v>54</v>
      </c>
      <c r="B12" s="2" t="s">
        <v>55</v>
      </c>
      <c r="C12" s="2" t="s">
        <v>43</v>
      </c>
      <c r="D12" s="2" t="s">
        <v>56</v>
      </c>
      <c r="E12" s="2">
        <v>3</v>
      </c>
      <c r="F12" s="2">
        <v>25</v>
      </c>
      <c r="G12" s="2">
        <v>29</v>
      </c>
      <c r="H12" s="2">
        <v>163</v>
      </c>
      <c r="I12" s="2">
        <v>89</v>
      </c>
      <c r="J12" s="2">
        <v>9</v>
      </c>
      <c r="K12" s="3" t="s">
        <v>45</v>
      </c>
      <c r="L12" s="6">
        <f t="shared" si="0"/>
        <v>0.54601226993865026</v>
      </c>
      <c r="M12" s="6">
        <f t="shared" si="1"/>
        <v>1.1599999999999999</v>
      </c>
      <c r="N12" t="str">
        <f t="shared" si="2"/>
        <v>Low</v>
      </c>
      <c r="O12" t="str">
        <f t="shared" si="3"/>
        <v>Meets Expectations</v>
      </c>
      <c r="P12" t="str">
        <f t="shared" si="4"/>
        <v>High Productivity</v>
      </c>
      <c r="Q12" t="str">
        <f t="shared" si="5"/>
        <v>Arjun Mehta</v>
      </c>
      <c r="R12" s="13">
        <f t="shared" si="6"/>
        <v>46327</v>
      </c>
    </row>
    <row r="13" spans="1:18" ht="28.8">
      <c r="A13" s="2" t="s">
        <v>57</v>
      </c>
      <c r="B13" s="2" t="s">
        <v>58</v>
      </c>
      <c r="C13" s="2" t="s">
        <v>59</v>
      </c>
      <c r="D13" s="2" t="s">
        <v>60</v>
      </c>
      <c r="E13" s="2">
        <v>5</v>
      </c>
      <c r="F13" s="2">
        <v>8</v>
      </c>
      <c r="G13" s="2">
        <v>8</v>
      </c>
      <c r="H13" s="2">
        <v>148</v>
      </c>
      <c r="I13" s="2">
        <v>59</v>
      </c>
      <c r="J13" s="2">
        <v>11</v>
      </c>
      <c r="K13" s="3" t="s">
        <v>61</v>
      </c>
      <c r="L13" s="6">
        <f t="shared" si="0"/>
        <v>0.39864864864864863</v>
      </c>
      <c r="M13" s="6">
        <f t="shared" si="1"/>
        <v>1</v>
      </c>
      <c r="N13" t="str">
        <f t="shared" si="2"/>
        <v>Medium</v>
      </c>
      <c r="O13" t="str">
        <f t="shared" si="3"/>
        <v>Meets Expectations</v>
      </c>
      <c r="P13" t="str">
        <f t="shared" si="4"/>
        <v>High Productivity</v>
      </c>
      <c r="Q13" t="str">
        <f t="shared" si="5"/>
        <v>Rahul Sharma</v>
      </c>
      <c r="R13" s="13">
        <f t="shared" si="6"/>
        <v>46357</v>
      </c>
    </row>
    <row r="14" spans="1:18" ht="28.8">
      <c r="A14" s="2" t="s">
        <v>62</v>
      </c>
      <c r="B14" s="2" t="s">
        <v>63</v>
      </c>
      <c r="C14" s="2" t="s">
        <v>13</v>
      </c>
      <c r="D14" s="2" t="s">
        <v>64</v>
      </c>
      <c r="E14" s="2">
        <v>3</v>
      </c>
      <c r="F14" s="2">
        <v>22</v>
      </c>
      <c r="G14" s="2">
        <v>18</v>
      </c>
      <c r="H14" s="2">
        <v>170</v>
      </c>
      <c r="I14" s="2">
        <v>100</v>
      </c>
      <c r="J14" s="2">
        <v>14</v>
      </c>
      <c r="K14" s="3" t="s">
        <v>37</v>
      </c>
      <c r="L14" s="6">
        <f t="shared" si="0"/>
        <v>0.58823529411764708</v>
      </c>
      <c r="M14" s="6">
        <f t="shared" si="1"/>
        <v>0.81818181818181823</v>
      </c>
      <c r="N14" t="str">
        <f t="shared" si="2"/>
        <v>Medium</v>
      </c>
      <c r="O14" t="str">
        <f t="shared" si="3"/>
        <v>Meets Expectations</v>
      </c>
      <c r="P14" t="str">
        <f t="shared" si="4"/>
        <v>Medium Productivity</v>
      </c>
      <c r="Q14" t="str">
        <f t="shared" si="5"/>
        <v>Neha Kapoor</v>
      </c>
      <c r="R14" s="13">
        <f t="shared" si="6"/>
        <v>46023</v>
      </c>
    </row>
    <row r="15" spans="1:18" ht="28.8">
      <c r="A15" s="2" t="s">
        <v>65</v>
      </c>
      <c r="B15" s="2" t="s">
        <v>66</v>
      </c>
      <c r="C15" s="2" t="s">
        <v>32</v>
      </c>
      <c r="D15" s="2" t="s">
        <v>67</v>
      </c>
      <c r="E15" s="2">
        <v>5</v>
      </c>
      <c r="F15" s="2">
        <v>17</v>
      </c>
      <c r="G15" s="2">
        <v>17</v>
      </c>
      <c r="H15" s="2">
        <v>163</v>
      </c>
      <c r="I15" s="2">
        <v>48</v>
      </c>
      <c r="J15" s="2">
        <v>11</v>
      </c>
      <c r="K15" s="3" t="s">
        <v>20</v>
      </c>
      <c r="L15" s="6">
        <f t="shared" si="0"/>
        <v>0.29447852760736198</v>
      </c>
      <c r="M15" s="6">
        <f t="shared" si="1"/>
        <v>1</v>
      </c>
      <c r="N15" t="str">
        <f t="shared" si="2"/>
        <v>Medium</v>
      </c>
      <c r="O15" t="str">
        <f t="shared" si="3"/>
        <v>Meets Expectations</v>
      </c>
      <c r="P15" t="str">
        <f t="shared" si="4"/>
        <v>High Productivity</v>
      </c>
      <c r="Q15" t="str">
        <f t="shared" si="5"/>
        <v>Ananya Iyer</v>
      </c>
      <c r="R15" s="13">
        <f t="shared" si="6"/>
        <v>46054</v>
      </c>
    </row>
    <row r="16" spans="1:18" ht="28.8">
      <c r="A16" s="2" t="s">
        <v>68</v>
      </c>
      <c r="B16" s="2" t="s">
        <v>69</v>
      </c>
      <c r="C16" s="2" t="s">
        <v>18</v>
      </c>
      <c r="D16" s="2" t="s">
        <v>19</v>
      </c>
      <c r="E16" s="2">
        <v>4</v>
      </c>
      <c r="F16" s="2">
        <v>18</v>
      </c>
      <c r="G16" s="2">
        <v>15</v>
      </c>
      <c r="H16" s="2">
        <v>168</v>
      </c>
      <c r="I16" s="2">
        <v>96</v>
      </c>
      <c r="J16" s="2">
        <v>21</v>
      </c>
      <c r="K16" s="3" t="s">
        <v>40</v>
      </c>
      <c r="L16" s="6">
        <f t="shared" si="0"/>
        <v>0.5714285714285714</v>
      </c>
      <c r="M16" s="6">
        <f t="shared" si="1"/>
        <v>0.83333333333333337</v>
      </c>
      <c r="N16" t="str">
        <f t="shared" si="2"/>
        <v>High</v>
      </c>
      <c r="O16" t="str">
        <f t="shared" si="3"/>
        <v>Meets Expectations</v>
      </c>
      <c r="P16" t="str">
        <f t="shared" si="4"/>
        <v>Medium Productivity</v>
      </c>
      <c r="Q16" t="str">
        <f t="shared" si="5"/>
        <v>Karthik Menon</v>
      </c>
      <c r="R16" s="13">
        <f t="shared" si="6"/>
        <v>46082</v>
      </c>
    </row>
    <row r="17" spans="1:18">
      <c r="A17" s="2" t="s">
        <v>70</v>
      </c>
      <c r="B17" s="2" t="s">
        <v>71</v>
      </c>
      <c r="C17" s="2" t="s">
        <v>59</v>
      </c>
      <c r="D17" s="2" t="s">
        <v>72</v>
      </c>
      <c r="E17" s="2">
        <v>3</v>
      </c>
      <c r="F17" s="2">
        <v>18</v>
      </c>
      <c r="G17" s="2">
        <v>15</v>
      </c>
      <c r="H17" s="2">
        <v>147</v>
      </c>
      <c r="I17" s="2">
        <v>50</v>
      </c>
      <c r="J17" s="2">
        <v>15</v>
      </c>
      <c r="K17" s="3" t="s">
        <v>45</v>
      </c>
      <c r="L17" s="6">
        <f t="shared" si="0"/>
        <v>0.3401360544217687</v>
      </c>
      <c r="M17" s="6">
        <f t="shared" si="1"/>
        <v>0.83333333333333337</v>
      </c>
      <c r="N17" t="str">
        <f t="shared" si="2"/>
        <v>Medium</v>
      </c>
      <c r="O17" t="str">
        <f t="shared" si="3"/>
        <v>Meets Expectations</v>
      </c>
      <c r="P17" t="str">
        <f t="shared" si="4"/>
        <v>Medium Productivity</v>
      </c>
      <c r="Q17" t="str">
        <f t="shared" si="5"/>
        <v>Rahul Sharma</v>
      </c>
      <c r="R17" s="13">
        <f t="shared" si="6"/>
        <v>46113</v>
      </c>
    </row>
    <row r="18" spans="1:18">
      <c r="A18" s="2" t="s">
        <v>73</v>
      </c>
      <c r="B18" s="2" t="s">
        <v>74</v>
      </c>
      <c r="C18" s="2" t="s">
        <v>48</v>
      </c>
      <c r="D18" s="2" t="s">
        <v>75</v>
      </c>
      <c r="E18" s="2">
        <v>4</v>
      </c>
      <c r="F18" s="2">
        <v>14</v>
      </c>
      <c r="G18" s="2">
        <v>12</v>
      </c>
      <c r="H18" s="2">
        <v>162</v>
      </c>
      <c r="I18" s="2">
        <v>82</v>
      </c>
      <c r="J18" s="2">
        <v>8</v>
      </c>
      <c r="K18" s="3" t="s">
        <v>34</v>
      </c>
      <c r="L18" s="6">
        <f t="shared" si="0"/>
        <v>0.50617283950617287</v>
      </c>
      <c r="M18" s="6">
        <f t="shared" si="1"/>
        <v>0.8571428571428571</v>
      </c>
      <c r="N18" t="str">
        <f t="shared" si="2"/>
        <v>Low</v>
      </c>
      <c r="O18" t="str">
        <f t="shared" si="3"/>
        <v>Meets Expectations</v>
      </c>
      <c r="P18" t="str">
        <f t="shared" si="4"/>
        <v>Medium Productivity</v>
      </c>
      <c r="Q18" t="str">
        <f>IF(C18="Sales","Arjun Mehta",IF(C18="Marketing","Priya Nair",IF(C18="Finance","Rahul Sharma",IF(C18="HR","Ananya Iyer",IF(C18="Operations","Vikram Rao",IF(C18="IT","Karthik Menon",IF(C18="Product","Neha Kapoor","Rohan Verma")))))))</f>
        <v>Priya Nair</v>
      </c>
      <c r="R18" s="13">
        <f t="shared" si="6"/>
        <v>46143</v>
      </c>
    </row>
    <row r="19" spans="1:18">
      <c r="A19" s="2" t="s">
        <v>76</v>
      </c>
      <c r="B19" s="2" t="s">
        <v>77</v>
      </c>
      <c r="C19" s="2" t="s">
        <v>32</v>
      </c>
      <c r="D19" s="2" t="s">
        <v>67</v>
      </c>
      <c r="E19" s="2">
        <v>1</v>
      </c>
      <c r="F19" s="2">
        <v>8</v>
      </c>
      <c r="G19" s="2">
        <v>6</v>
      </c>
      <c r="H19" s="2">
        <v>190</v>
      </c>
      <c r="I19" s="2">
        <v>30</v>
      </c>
      <c r="J19" s="2">
        <v>21</v>
      </c>
      <c r="K19" s="3" t="s">
        <v>78</v>
      </c>
      <c r="L19" s="6">
        <f t="shared" si="0"/>
        <v>0.15789473684210525</v>
      </c>
      <c r="M19" s="6">
        <f t="shared" si="1"/>
        <v>0.75</v>
      </c>
      <c r="N19" t="str">
        <f t="shared" si="2"/>
        <v>High</v>
      </c>
      <c r="O19" t="str">
        <f t="shared" si="3"/>
        <v>Needs Improvement</v>
      </c>
      <c r="P19" t="str">
        <f t="shared" si="4"/>
        <v>Medium Productivity</v>
      </c>
      <c r="Q19" t="str">
        <f t="shared" si="5"/>
        <v>Ananya Iyer</v>
      </c>
      <c r="R19" s="13">
        <f t="shared" si="6"/>
        <v>46174</v>
      </c>
    </row>
    <row r="20" spans="1:18">
      <c r="A20" s="2" t="s">
        <v>79</v>
      </c>
      <c r="B20" s="2" t="s">
        <v>80</v>
      </c>
      <c r="C20" s="2" t="s">
        <v>52</v>
      </c>
      <c r="D20" s="2" t="s">
        <v>81</v>
      </c>
      <c r="E20" s="2">
        <v>4</v>
      </c>
      <c r="F20" s="2">
        <v>22</v>
      </c>
      <c r="G20" s="2">
        <v>18</v>
      </c>
      <c r="H20" s="2">
        <v>166</v>
      </c>
      <c r="I20" s="2">
        <v>117</v>
      </c>
      <c r="J20" s="2">
        <v>15</v>
      </c>
      <c r="K20" s="3" t="s">
        <v>34</v>
      </c>
      <c r="L20" s="6">
        <f t="shared" si="0"/>
        <v>0.70481927710843373</v>
      </c>
      <c r="M20" s="6">
        <f t="shared" si="1"/>
        <v>0.81818181818181823</v>
      </c>
      <c r="N20" t="str">
        <f t="shared" si="2"/>
        <v>Medium</v>
      </c>
      <c r="O20" t="str">
        <f t="shared" si="3"/>
        <v>Meets Expectations</v>
      </c>
      <c r="P20" t="str">
        <f t="shared" si="4"/>
        <v>Medium Productivity</v>
      </c>
      <c r="Q20" t="str">
        <f t="shared" si="5"/>
        <v>Rohan Verma</v>
      </c>
      <c r="R20" s="13">
        <f t="shared" si="6"/>
        <v>46204</v>
      </c>
    </row>
    <row r="21" spans="1:18">
      <c r="A21" s="2" t="s">
        <v>82</v>
      </c>
      <c r="B21" s="2" t="s">
        <v>83</v>
      </c>
      <c r="C21" s="2" t="s">
        <v>18</v>
      </c>
      <c r="D21" s="2" t="s">
        <v>23</v>
      </c>
      <c r="E21" s="2">
        <v>3</v>
      </c>
      <c r="F21" s="2">
        <v>25</v>
      </c>
      <c r="G21" s="2">
        <v>20</v>
      </c>
      <c r="H21" s="2">
        <v>181</v>
      </c>
      <c r="I21" s="2">
        <v>151</v>
      </c>
      <c r="J21" s="2">
        <v>10</v>
      </c>
      <c r="K21" s="3" t="s">
        <v>84</v>
      </c>
      <c r="L21" s="6">
        <f t="shared" si="0"/>
        <v>0.83425414364640882</v>
      </c>
      <c r="M21" s="6">
        <f t="shared" si="1"/>
        <v>0.8</v>
      </c>
      <c r="N21" t="str">
        <f t="shared" si="2"/>
        <v>Medium</v>
      </c>
      <c r="O21" t="str">
        <f t="shared" si="3"/>
        <v>Meets Expectations</v>
      </c>
      <c r="P21" t="str">
        <f t="shared" si="4"/>
        <v>Medium Productivity</v>
      </c>
      <c r="Q21" t="str">
        <f t="shared" si="5"/>
        <v>Karthik Menon</v>
      </c>
      <c r="R21" s="13">
        <f t="shared" si="6"/>
        <v>46235</v>
      </c>
    </row>
    <row r="22" spans="1:18">
      <c r="A22" s="2" t="s">
        <v>85</v>
      </c>
      <c r="B22" s="2" t="s">
        <v>86</v>
      </c>
      <c r="C22" s="2" t="s">
        <v>32</v>
      </c>
      <c r="D22" s="2" t="s">
        <v>33</v>
      </c>
      <c r="E22" s="2">
        <v>3</v>
      </c>
      <c r="F22" s="2">
        <v>17</v>
      </c>
      <c r="G22" s="2">
        <v>11</v>
      </c>
      <c r="H22" s="2">
        <v>176</v>
      </c>
      <c r="I22" s="2">
        <v>41</v>
      </c>
      <c r="J22" s="2">
        <v>11</v>
      </c>
      <c r="K22" s="3" t="s">
        <v>45</v>
      </c>
      <c r="L22" s="6">
        <f t="shared" si="0"/>
        <v>0.23295454545454544</v>
      </c>
      <c r="M22" s="6">
        <f t="shared" si="1"/>
        <v>0.6470588235294118</v>
      </c>
      <c r="N22" t="str">
        <f t="shared" si="2"/>
        <v>Medium</v>
      </c>
      <c r="O22" t="str">
        <f t="shared" si="3"/>
        <v>Meets Expectations</v>
      </c>
      <c r="P22" t="str">
        <f t="shared" si="4"/>
        <v>Medium Productivity</v>
      </c>
      <c r="Q22" t="str">
        <f t="shared" si="5"/>
        <v>Ananya Iyer</v>
      </c>
      <c r="R22" s="13">
        <f t="shared" si="6"/>
        <v>46266</v>
      </c>
    </row>
    <row r="23" spans="1:18" ht="28.8">
      <c r="A23" s="2" t="s">
        <v>87</v>
      </c>
      <c r="B23" s="2" t="s">
        <v>88</v>
      </c>
      <c r="C23" s="2" t="s">
        <v>52</v>
      </c>
      <c r="D23" s="2" t="s">
        <v>81</v>
      </c>
      <c r="E23" s="2">
        <v>5</v>
      </c>
      <c r="F23" s="2">
        <v>12</v>
      </c>
      <c r="G23" s="2">
        <v>14</v>
      </c>
      <c r="H23" s="2">
        <v>188</v>
      </c>
      <c r="I23" s="2">
        <v>138</v>
      </c>
      <c r="J23" s="2">
        <v>4</v>
      </c>
      <c r="K23" s="3" t="s">
        <v>89</v>
      </c>
      <c r="L23" s="6">
        <f t="shared" si="0"/>
        <v>0.73404255319148937</v>
      </c>
      <c r="M23" s="6">
        <f t="shared" si="1"/>
        <v>1.1666666666666667</v>
      </c>
      <c r="N23" t="str">
        <f t="shared" si="2"/>
        <v>Low</v>
      </c>
      <c r="O23" t="str">
        <f t="shared" si="3"/>
        <v>Meets Expectations</v>
      </c>
      <c r="P23" t="str">
        <f t="shared" si="4"/>
        <v>High Productivity</v>
      </c>
      <c r="Q23" t="str">
        <f t="shared" si="5"/>
        <v>Rohan Verma</v>
      </c>
      <c r="R23" s="13">
        <f t="shared" si="6"/>
        <v>46296</v>
      </c>
    </row>
    <row r="24" spans="1:18">
      <c r="A24" s="2" t="s">
        <v>90</v>
      </c>
      <c r="B24" s="2" t="s">
        <v>91</v>
      </c>
      <c r="C24" s="2" t="s">
        <v>59</v>
      </c>
      <c r="D24" s="2" t="s">
        <v>60</v>
      </c>
      <c r="E24" s="2">
        <v>4</v>
      </c>
      <c r="F24" s="2">
        <v>17</v>
      </c>
      <c r="G24" s="2">
        <v>16</v>
      </c>
      <c r="H24" s="2">
        <v>181</v>
      </c>
      <c r="I24" s="2">
        <v>76</v>
      </c>
      <c r="J24" s="2">
        <v>12</v>
      </c>
      <c r="K24" s="3" t="s">
        <v>24</v>
      </c>
      <c r="L24" s="6">
        <f t="shared" si="0"/>
        <v>0.41988950276243092</v>
      </c>
      <c r="M24" s="6">
        <f t="shared" si="1"/>
        <v>0.94117647058823528</v>
      </c>
      <c r="N24" t="str">
        <f t="shared" si="2"/>
        <v>Medium</v>
      </c>
      <c r="O24" t="str">
        <f t="shared" si="3"/>
        <v>Meets Expectations</v>
      </c>
      <c r="P24" t="str">
        <f t="shared" si="4"/>
        <v>High Productivity</v>
      </c>
      <c r="Q24" t="str">
        <f t="shared" si="5"/>
        <v>Rahul Sharma</v>
      </c>
      <c r="R24" s="13">
        <f t="shared" si="6"/>
        <v>46327</v>
      </c>
    </row>
    <row r="25" spans="1:18">
      <c r="A25" s="2" t="s">
        <v>92</v>
      </c>
      <c r="B25" s="2" t="s">
        <v>93</v>
      </c>
      <c r="C25" s="2" t="s">
        <v>13</v>
      </c>
      <c r="D25" s="2" t="s">
        <v>14</v>
      </c>
      <c r="E25" s="2">
        <v>3</v>
      </c>
      <c r="F25" s="2">
        <v>12</v>
      </c>
      <c r="G25" s="2">
        <v>11</v>
      </c>
      <c r="H25" s="2">
        <v>180</v>
      </c>
      <c r="I25" s="2">
        <v>102</v>
      </c>
      <c r="J25" s="2">
        <v>11</v>
      </c>
      <c r="K25" s="3" t="s">
        <v>84</v>
      </c>
      <c r="L25" s="6">
        <f t="shared" si="0"/>
        <v>0.56666666666666665</v>
      </c>
      <c r="M25" s="6">
        <f t="shared" si="1"/>
        <v>0.91666666666666663</v>
      </c>
      <c r="N25" t="str">
        <f t="shared" si="2"/>
        <v>Medium</v>
      </c>
      <c r="O25" t="str">
        <f t="shared" si="3"/>
        <v>Meets Expectations</v>
      </c>
      <c r="P25" t="str">
        <f t="shared" si="4"/>
        <v>High Productivity</v>
      </c>
      <c r="Q25" t="str">
        <f t="shared" si="5"/>
        <v>Neha Kapoor</v>
      </c>
      <c r="R25" s="13">
        <f t="shared" si="6"/>
        <v>46357</v>
      </c>
    </row>
    <row r="26" spans="1:18">
      <c r="A26" s="2" t="s">
        <v>94</v>
      </c>
      <c r="B26" s="2" t="s">
        <v>95</v>
      </c>
      <c r="C26" s="2" t="s">
        <v>43</v>
      </c>
      <c r="D26" s="2" t="s">
        <v>96</v>
      </c>
      <c r="E26" s="2">
        <v>4</v>
      </c>
      <c r="F26" s="2">
        <v>14</v>
      </c>
      <c r="G26" s="2">
        <v>14</v>
      </c>
      <c r="H26" s="2">
        <v>173</v>
      </c>
      <c r="I26" s="2">
        <v>98</v>
      </c>
      <c r="J26" s="2">
        <v>2</v>
      </c>
      <c r="K26" s="3" t="s">
        <v>24</v>
      </c>
      <c r="L26" s="6">
        <f t="shared" si="0"/>
        <v>0.56647398843930641</v>
      </c>
      <c r="M26" s="6">
        <f t="shared" si="1"/>
        <v>1</v>
      </c>
      <c r="N26" t="str">
        <f t="shared" si="2"/>
        <v>Low</v>
      </c>
      <c r="O26" t="str">
        <f t="shared" si="3"/>
        <v>Meets Expectations</v>
      </c>
      <c r="P26" t="str">
        <f t="shared" si="4"/>
        <v>High Productivity</v>
      </c>
      <c r="Q26" t="str">
        <f t="shared" si="5"/>
        <v>Arjun Mehta</v>
      </c>
      <c r="R26" s="13">
        <f t="shared" si="6"/>
        <v>46023</v>
      </c>
    </row>
    <row r="27" spans="1:18">
      <c r="A27" s="2" t="s">
        <v>97</v>
      </c>
      <c r="B27" s="2" t="s">
        <v>98</v>
      </c>
      <c r="C27" s="2" t="s">
        <v>52</v>
      </c>
      <c r="D27" s="2" t="s">
        <v>53</v>
      </c>
      <c r="E27" s="2">
        <v>3</v>
      </c>
      <c r="F27" s="2">
        <v>12</v>
      </c>
      <c r="G27" s="2">
        <v>10</v>
      </c>
      <c r="H27" s="2">
        <v>170</v>
      </c>
      <c r="I27" s="2">
        <v>116</v>
      </c>
      <c r="J27" s="2">
        <v>5</v>
      </c>
      <c r="K27" s="3" t="s">
        <v>84</v>
      </c>
      <c r="L27" s="6">
        <f t="shared" si="0"/>
        <v>0.68235294117647061</v>
      </c>
      <c r="M27" s="6">
        <f t="shared" si="1"/>
        <v>0.83333333333333337</v>
      </c>
      <c r="N27" t="str">
        <f t="shared" si="2"/>
        <v>Low</v>
      </c>
      <c r="O27" t="str">
        <f t="shared" si="3"/>
        <v>Meets Expectations</v>
      </c>
      <c r="P27" t="str">
        <f t="shared" si="4"/>
        <v>Medium Productivity</v>
      </c>
      <c r="Q27" t="str">
        <f t="shared" si="5"/>
        <v>Rohan Verma</v>
      </c>
      <c r="R27" s="13">
        <f t="shared" si="6"/>
        <v>46054</v>
      </c>
    </row>
    <row r="28" spans="1:18" ht="28.8">
      <c r="A28" s="2" t="s">
        <v>99</v>
      </c>
      <c r="B28" s="2" t="s">
        <v>100</v>
      </c>
      <c r="C28" s="2" t="s">
        <v>59</v>
      </c>
      <c r="D28" s="2" t="s">
        <v>101</v>
      </c>
      <c r="E28" s="2">
        <v>3</v>
      </c>
      <c r="F28" s="2">
        <v>19</v>
      </c>
      <c r="G28" s="2">
        <v>20</v>
      </c>
      <c r="H28" s="2">
        <v>178</v>
      </c>
      <c r="I28" s="2">
        <v>82</v>
      </c>
      <c r="J28" s="2">
        <v>4</v>
      </c>
      <c r="K28" s="3" t="s">
        <v>37</v>
      </c>
      <c r="L28" s="6">
        <f t="shared" si="0"/>
        <v>0.4606741573033708</v>
      </c>
      <c r="M28" s="6">
        <f t="shared" si="1"/>
        <v>1.0526315789473684</v>
      </c>
      <c r="N28" t="str">
        <f t="shared" si="2"/>
        <v>Low</v>
      </c>
      <c r="O28" t="str">
        <f t="shared" si="3"/>
        <v>Meets Expectations</v>
      </c>
      <c r="P28" t="str">
        <f t="shared" si="4"/>
        <v>High Productivity</v>
      </c>
      <c r="Q28" t="str">
        <f t="shared" si="5"/>
        <v>Rahul Sharma</v>
      </c>
      <c r="R28" s="13">
        <f t="shared" si="6"/>
        <v>46082</v>
      </c>
    </row>
    <row r="29" spans="1:18" ht="28.8">
      <c r="A29" s="2" t="s">
        <v>102</v>
      </c>
      <c r="B29" s="2" t="s">
        <v>103</v>
      </c>
      <c r="C29" s="2" t="s">
        <v>27</v>
      </c>
      <c r="D29" s="2" t="s">
        <v>104</v>
      </c>
      <c r="E29" s="2">
        <v>5</v>
      </c>
      <c r="F29" s="2">
        <v>20</v>
      </c>
      <c r="G29" s="2">
        <v>17</v>
      </c>
      <c r="H29" s="2">
        <v>164</v>
      </c>
      <c r="I29" s="2">
        <v>119</v>
      </c>
      <c r="J29" s="2">
        <v>14</v>
      </c>
      <c r="K29" s="3" t="s">
        <v>61</v>
      </c>
      <c r="L29" s="6">
        <f t="shared" si="0"/>
        <v>0.72560975609756095</v>
      </c>
      <c r="M29" s="6">
        <f t="shared" si="1"/>
        <v>0.85</v>
      </c>
      <c r="N29" t="str">
        <f t="shared" si="2"/>
        <v>Medium</v>
      </c>
      <c r="O29" t="str">
        <f t="shared" si="3"/>
        <v>Meets Expectations</v>
      </c>
      <c r="P29" t="str">
        <f t="shared" si="4"/>
        <v>Medium Productivity</v>
      </c>
      <c r="Q29" t="str">
        <f t="shared" si="5"/>
        <v>Vikram Rao</v>
      </c>
      <c r="R29" s="13">
        <f t="shared" si="6"/>
        <v>46113</v>
      </c>
    </row>
    <row r="30" spans="1:18">
      <c r="A30" s="2" t="s">
        <v>105</v>
      </c>
      <c r="B30" s="2" t="s">
        <v>106</v>
      </c>
      <c r="C30" s="2" t="s">
        <v>27</v>
      </c>
      <c r="D30" s="2" t="s">
        <v>28</v>
      </c>
      <c r="E30" s="2">
        <v>3</v>
      </c>
      <c r="F30" s="2">
        <v>13</v>
      </c>
      <c r="G30" s="2">
        <v>11</v>
      </c>
      <c r="H30" s="2">
        <v>174</v>
      </c>
      <c r="I30" s="2">
        <v>106</v>
      </c>
      <c r="J30" s="2">
        <v>12</v>
      </c>
      <c r="K30" s="3" t="s">
        <v>45</v>
      </c>
      <c r="L30" s="6">
        <f t="shared" si="0"/>
        <v>0.60919540229885061</v>
      </c>
      <c r="M30" s="6">
        <f t="shared" si="1"/>
        <v>0.84615384615384615</v>
      </c>
      <c r="N30" t="str">
        <f t="shared" si="2"/>
        <v>Medium</v>
      </c>
      <c r="O30" t="str">
        <f t="shared" si="3"/>
        <v>Meets Expectations</v>
      </c>
      <c r="P30" t="str">
        <f t="shared" si="4"/>
        <v>Medium Productivity</v>
      </c>
      <c r="Q30" t="str">
        <f>IF(C30="Sales","Arjun Mehta",IF(C30="Marketing","Priya Nair",IF(C30="Finance","Rahul Sharma",IF(C30="HR","Ananya Iyer",IF(C30="Operations","Vikram Rao",IF(C30="IT","Karthik Menon",IF(C30="Product","Neha Kapoor","Rohan Verma")))))))</f>
        <v>Vikram Rao</v>
      </c>
      <c r="R30" s="13">
        <f t="shared" si="6"/>
        <v>46143</v>
      </c>
    </row>
    <row r="31" spans="1:18" ht="28.8">
      <c r="A31" s="2" t="s">
        <v>107</v>
      </c>
      <c r="B31" s="2" t="s">
        <v>108</v>
      </c>
      <c r="C31" s="2" t="s">
        <v>13</v>
      </c>
      <c r="D31" s="2" t="s">
        <v>64</v>
      </c>
      <c r="E31" s="2">
        <v>5</v>
      </c>
      <c r="F31" s="2">
        <v>13</v>
      </c>
      <c r="G31" s="2">
        <v>13</v>
      </c>
      <c r="H31" s="2">
        <v>154</v>
      </c>
      <c r="I31" s="2">
        <v>79</v>
      </c>
      <c r="J31" s="2">
        <v>13</v>
      </c>
      <c r="K31" s="3" t="s">
        <v>89</v>
      </c>
      <c r="L31" s="6">
        <f t="shared" si="0"/>
        <v>0.51298701298701299</v>
      </c>
      <c r="M31" s="6">
        <f t="shared" si="1"/>
        <v>1</v>
      </c>
      <c r="N31" t="str">
        <f t="shared" si="2"/>
        <v>Medium</v>
      </c>
      <c r="O31" t="str">
        <f t="shared" si="3"/>
        <v>Meets Expectations</v>
      </c>
      <c r="P31" t="str">
        <f t="shared" si="4"/>
        <v>High Productivity</v>
      </c>
      <c r="Q31" t="str">
        <f t="shared" si="5"/>
        <v>Neha Kapoor</v>
      </c>
      <c r="R31" s="13">
        <f t="shared" si="6"/>
        <v>46174</v>
      </c>
    </row>
    <row r="32" spans="1:18" ht="28.8">
      <c r="A32" s="2" t="s">
        <v>109</v>
      </c>
      <c r="B32" s="2" t="s">
        <v>110</v>
      </c>
      <c r="C32" s="2" t="s">
        <v>43</v>
      </c>
      <c r="D32" s="2" t="s">
        <v>96</v>
      </c>
      <c r="E32" s="2">
        <v>5</v>
      </c>
      <c r="F32" s="2">
        <v>14</v>
      </c>
      <c r="G32" s="2">
        <v>13</v>
      </c>
      <c r="H32" s="2">
        <v>178</v>
      </c>
      <c r="I32" s="2">
        <v>104</v>
      </c>
      <c r="J32" s="2">
        <v>5</v>
      </c>
      <c r="K32" s="3" t="s">
        <v>89</v>
      </c>
      <c r="L32" s="6">
        <f t="shared" si="0"/>
        <v>0.5842696629213483</v>
      </c>
      <c r="M32" s="6">
        <f t="shared" si="1"/>
        <v>0.9285714285714286</v>
      </c>
      <c r="N32" t="str">
        <f t="shared" si="2"/>
        <v>Low</v>
      </c>
      <c r="O32" t="str">
        <f t="shared" si="3"/>
        <v>Meets Expectations</v>
      </c>
      <c r="P32" t="str">
        <f t="shared" si="4"/>
        <v>High Productivity</v>
      </c>
      <c r="Q32" t="str">
        <f t="shared" si="5"/>
        <v>Arjun Mehta</v>
      </c>
      <c r="R32" s="13">
        <f t="shared" si="6"/>
        <v>46204</v>
      </c>
    </row>
    <row r="33" spans="1:18">
      <c r="A33" s="2" t="s">
        <v>111</v>
      </c>
      <c r="B33" s="2" t="s">
        <v>112</v>
      </c>
      <c r="C33" s="2" t="s">
        <v>48</v>
      </c>
      <c r="D33" s="2" t="s">
        <v>113</v>
      </c>
      <c r="E33" s="2">
        <v>4</v>
      </c>
      <c r="F33" s="2">
        <v>20</v>
      </c>
      <c r="G33" s="2">
        <v>17</v>
      </c>
      <c r="H33" s="2">
        <v>195</v>
      </c>
      <c r="I33" s="2">
        <v>111</v>
      </c>
      <c r="J33" s="2">
        <v>7</v>
      </c>
      <c r="K33" s="3" t="s">
        <v>24</v>
      </c>
      <c r="L33" s="6">
        <f t="shared" si="0"/>
        <v>0.56923076923076921</v>
      </c>
      <c r="M33" s="6">
        <f t="shared" si="1"/>
        <v>0.85</v>
      </c>
      <c r="N33" t="str">
        <f t="shared" si="2"/>
        <v>Low</v>
      </c>
      <c r="O33" t="str">
        <f t="shared" si="3"/>
        <v>Meets Expectations</v>
      </c>
      <c r="P33" t="str">
        <f t="shared" si="4"/>
        <v>Medium Productivity</v>
      </c>
      <c r="Q33" t="str">
        <f t="shared" si="5"/>
        <v>Priya Nair</v>
      </c>
      <c r="R33" s="13">
        <f t="shared" si="6"/>
        <v>46235</v>
      </c>
    </row>
    <row r="34" spans="1:18">
      <c r="A34" s="2" t="s">
        <v>114</v>
      </c>
      <c r="B34" s="2" t="s">
        <v>115</v>
      </c>
      <c r="C34" s="2" t="s">
        <v>48</v>
      </c>
      <c r="D34" s="2" t="s">
        <v>113</v>
      </c>
      <c r="E34" s="2">
        <v>4</v>
      </c>
      <c r="F34" s="2">
        <v>18</v>
      </c>
      <c r="G34" s="2">
        <v>20</v>
      </c>
      <c r="H34" s="2">
        <v>176</v>
      </c>
      <c r="I34" s="2">
        <v>106</v>
      </c>
      <c r="J34" s="2">
        <v>13</v>
      </c>
      <c r="K34" s="3" t="s">
        <v>34</v>
      </c>
      <c r="L34" s="6">
        <f t="shared" si="0"/>
        <v>0.60227272727272729</v>
      </c>
      <c r="M34" s="6">
        <f t="shared" si="1"/>
        <v>1.1111111111111112</v>
      </c>
      <c r="N34" t="str">
        <f t="shared" si="2"/>
        <v>Medium</v>
      </c>
      <c r="O34" t="str">
        <f t="shared" si="3"/>
        <v>Meets Expectations</v>
      </c>
      <c r="P34" t="str">
        <f t="shared" si="4"/>
        <v>High Productivity</v>
      </c>
      <c r="Q34" t="str">
        <f t="shared" si="5"/>
        <v>Priya Nair</v>
      </c>
      <c r="R34" s="13">
        <f t="shared" si="6"/>
        <v>46266</v>
      </c>
    </row>
    <row r="35" spans="1:18" ht="28.8">
      <c r="A35" s="2" t="s">
        <v>116</v>
      </c>
      <c r="B35" s="2" t="s">
        <v>117</v>
      </c>
      <c r="C35" s="2" t="s">
        <v>32</v>
      </c>
      <c r="D35" s="2" t="s">
        <v>33</v>
      </c>
      <c r="E35" s="2">
        <v>3</v>
      </c>
      <c r="F35" s="2">
        <v>19</v>
      </c>
      <c r="G35" s="2">
        <v>13</v>
      </c>
      <c r="H35" s="2">
        <v>204</v>
      </c>
      <c r="I35" s="2">
        <v>45</v>
      </c>
      <c r="J35" s="2">
        <v>14</v>
      </c>
      <c r="K35" s="3" t="s">
        <v>37</v>
      </c>
      <c r="L35" s="6">
        <f t="shared" si="0"/>
        <v>0.22058823529411764</v>
      </c>
      <c r="M35" s="6">
        <f t="shared" si="1"/>
        <v>0.68421052631578949</v>
      </c>
      <c r="N35" t="str">
        <f t="shared" si="2"/>
        <v>Medium</v>
      </c>
      <c r="O35" t="str">
        <f t="shared" si="3"/>
        <v>Meets Expectations</v>
      </c>
      <c r="P35" t="str">
        <f t="shared" si="4"/>
        <v>Medium Productivity</v>
      </c>
      <c r="Q35" t="str">
        <f t="shared" si="5"/>
        <v>Ananya Iyer</v>
      </c>
      <c r="R35" s="13">
        <f t="shared" si="6"/>
        <v>46296</v>
      </c>
    </row>
    <row r="36" spans="1:18">
      <c r="A36" s="2" t="s">
        <v>118</v>
      </c>
      <c r="B36" s="2" t="s">
        <v>119</v>
      </c>
      <c r="C36" s="2" t="s">
        <v>13</v>
      </c>
      <c r="D36" s="2" t="s">
        <v>120</v>
      </c>
      <c r="E36" s="2">
        <v>3</v>
      </c>
      <c r="F36" s="2">
        <v>19</v>
      </c>
      <c r="G36" s="2">
        <v>15</v>
      </c>
      <c r="H36" s="2">
        <v>184</v>
      </c>
      <c r="I36" s="2">
        <v>71</v>
      </c>
      <c r="J36" s="2">
        <v>11</v>
      </c>
      <c r="K36" s="3" t="s">
        <v>45</v>
      </c>
      <c r="L36" s="6">
        <f t="shared" si="0"/>
        <v>0.3858695652173913</v>
      </c>
      <c r="M36" s="6">
        <f t="shared" si="1"/>
        <v>0.78947368421052633</v>
      </c>
      <c r="N36" t="str">
        <f t="shared" si="2"/>
        <v>Medium</v>
      </c>
      <c r="O36" t="str">
        <f t="shared" si="3"/>
        <v>Meets Expectations</v>
      </c>
      <c r="P36" t="str">
        <f t="shared" si="4"/>
        <v>Medium Productivity</v>
      </c>
      <c r="Q36" t="str">
        <f t="shared" si="5"/>
        <v>Neha Kapoor</v>
      </c>
      <c r="R36" s="13">
        <f t="shared" si="6"/>
        <v>46327</v>
      </c>
    </row>
    <row r="37" spans="1:18">
      <c r="A37" s="2" t="s">
        <v>121</v>
      </c>
      <c r="B37" s="2" t="s">
        <v>122</v>
      </c>
      <c r="C37" s="2" t="s">
        <v>32</v>
      </c>
      <c r="D37" s="2" t="s">
        <v>123</v>
      </c>
      <c r="E37" s="2">
        <v>3</v>
      </c>
      <c r="F37" s="2">
        <v>13</v>
      </c>
      <c r="G37" s="2">
        <v>11</v>
      </c>
      <c r="H37" s="2">
        <v>166</v>
      </c>
      <c r="I37" s="2">
        <v>81</v>
      </c>
      <c r="J37" s="2">
        <v>12</v>
      </c>
      <c r="K37" s="3" t="s">
        <v>45</v>
      </c>
      <c r="L37" s="6">
        <f t="shared" si="0"/>
        <v>0.48795180722891568</v>
      </c>
      <c r="M37" s="6">
        <f t="shared" si="1"/>
        <v>0.84615384615384615</v>
      </c>
      <c r="N37" t="str">
        <f t="shared" si="2"/>
        <v>Medium</v>
      </c>
      <c r="O37" t="str">
        <f t="shared" si="3"/>
        <v>Meets Expectations</v>
      </c>
      <c r="P37" t="str">
        <f t="shared" si="4"/>
        <v>Medium Productivity</v>
      </c>
      <c r="Q37" t="str">
        <f t="shared" si="5"/>
        <v>Ananya Iyer</v>
      </c>
      <c r="R37" s="13">
        <f t="shared" si="6"/>
        <v>46357</v>
      </c>
    </row>
    <row r="38" spans="1:18" ht="28.8">
      <c r="A38" s="2" t="s">
        <v>124</v>
      </c>
      <c r="B38" s="2" t="s">
        <v>125</v>
      </c>
      <c r="C38" s="2" t="s">
        <v>48</v>
      </c>
      <c r="D38" s="2" t="s">
        <v>75</v>
      </c>
      <c r="E38" s="2">
        <v>3</v>
      </c>
      <c r="F38" s="2">
        <v>28</v>
      </c>
      <c r="G38" s="2">
        <v>20</v>
      </c>
      <c r="H38" s="2">
        <v>148</v>
      </c>
      <c r="I38" s="2">
        <v>63</v>
      </c>
      <c r="J38" s="2">
        <v>13</v>
      </c>
      <c r="K38" s="3" t="s">
        <v>37</v>
      </c>
      <c r="L38" s="6">
        <f t="shared" si="0"/>
        <v>0.42567567567567566</v>
      </c>
      <c r="M38" s="6">
        <f t="shared" si="1"/>
        <v>0.7142857142857143</v>
      </c>
      <c r="N38" t="str">
        <f t="shared" si="2"/>
        <v>Medium</v>
      </c>
      <c r="O38" t="str">
        <f t="shared" si="3"/>
        <v>Meets Expectations</v>
      </c>
      <c r="P38" t="str">
        <f t="shared" si="4"/>
        <v>Medium Productivity</v>
      </c>
      <c r="Q38" t="str">
        <f t="shared" si="5"/>
        <v>Priya Nair</v>
      </c>
      <c r="R38" s="13">
        <f t="shared" si="6"/>
        <v>46023</v>
      </c>
    </row>
    <row r="39" spans="1:18">
      <c r="A39" s="2" t="s">
        <v>126</v>
      </c>
      <c r="B39" s="2" t="s">
        <v>127</v>
      </c>
      <c r="C39" s="2" t="s">
        <v>27</v>
      </c>
      <c r="D39" s="2" t="s">
        <v>128</v>
      </c>
      <c r="E39" s="2">
        <v>4</v>
      </c>
      <c r="F39" s="2">
        <v>18</v>
      </c>
      <c r="G39" s="2">
        <v>16</v>
      </c>
      <c r="H39" s="2">
        <v>178</v>
      </c>
      <c r="I39" s="2">
        <v>108</v>
      </c>
      <c r="J39" s="2">
        <v>13</v>
      </c>
      <c r="K39" s="3" t="s">
        <v>34</v>
      </c>
      <c r="L39" s="6">
        <f t="shared" si="0"/>
        <v>0.6067415730337079</v>
      </c>
      <c r="M39" s="6">
        <f t="shared" si="1"/>
        <v>0.88888888888888884</v>
      </c>
      <c r="N39" t="str">
        <f t="shared" si="2"/>
        <v>Medium</v>
      </c>
      <c r="O39" t="str">
        <f t="shared" si="3"/>
        <v>Meets Expectations</v>
      </c>
      <c r="P39" t="str">
        <f t="shared" si="4"/>
        <v>Medium Productivity</v>
      </c>
      <c r="Q39" t="str">
        <f t="shared" si="5"/>
        <v>Vikram Rao</v>
      </c>
      <c r="R39" s="13">
        <f t="shared" si="6"/>
        <v>46054</v>
      </c>
    </row>
    <row r="40" spans="1:18" ht="28.8">
      <c r="A40" s="2" t="s">
        <v>129</v>
      </c>
      <c r="B40" s="2" t="s">
        <v>130</v>
      </c>
      <c r="C40" s="2" t="s">
        <v>18</v>
      </c>
      <c r="D40" s="2" t="s">
        <v>19</v>
      </c>
      <c r="E40" s="2">
        <v>4</v>
      </c>
      <c r="F40" s="2">
        <v>14</v>
      </c>
      <c r="G40" s="2">
        <v>14</v>
      </c>
      <c r="H40" s="2">
        <v>207</v>
      </c>
      <c r="I40" s="2">
        <v>127</v>
      </c>
      <c r="J40" s="2">
        <v>17</v>
      </c>
      <c r="K40" s="3" t="s">
        <v>40</v>
      </c>
      <c r="L40" s="6">
        <f t="shared" si="0"/>
        <v>0.61352657004830913</v>
      </c>
      <c r="M40" s="6">
        <f t="shared" si="1"/>
        <v>1</v>
      </c>
      <c r="N40" t="str">
        <f t="shared" si="2"/>
        <v>Medium</v>
      </c>
      <c r="O40" t="str">
        <f t="shared" si="3"/>
        <v>Meets Expectations</v>
      </c>
      <c r="P40" t="str">
        <f t="shared" si="4"/>
        <v>High Productivity</v>
      </c>
      <c r="Q40" t="str">
        <f t="shared" si="5"/>
        <v>Karthik Menon</v>
      </c>
      <c r="R40" s="13">
        <f t="shared" si="6"/>
        <v>46082</v>
      </c>
    </row>
    <row r="41" spans="1:18" ht="28.8">
      <c r="A41" s="2" t="s">
        <v>131</v>
      </c>
      <c r="B41" s="2" t="s">
        <v>132</v>
      </c>
      <c r="C41" s="2" t="s">
        <v>13</v>
      </c>
      <c r="D41" s="2" t="s">
        <v>64</v>
      </c>
      <c r="E41" s="2">
        <v>3</v>
      </c>
      <c r="F41" s="2">
        <v>25</v>
      </c>
      <c r="G41" s="2">
        <v>19</v>
      </c>
      <c r="H41" s="2">
        <v>172</v>
      </c>
      <c r="I41" s="2">
        <v>90</v>
      </c>
      <c r="J41" s="2">
        <v>7</v>
      </c>
      <c r="K41" s="3" t="s">
        <v>37</v>
      </c>
      <c r="L41" s="6">
        <f t="shared" si="0"/>
        <v>0.52325581395348841</v>
      </c>
      <c r="M41" s="6">
        <f t="shared" si="1"/>
        <v>0.76</v>
      </c>
      <c r="N41" t="str">
        <f t="shared" si="2"/>
        <v>Low</v>
      </c>
      <c r="O41" t="str">
        <f t="shared" si="3"/>
        <v>Meets Expectations</v>
      </c>
      <c r="P41" t="str">
        <f t="shared" si="4"/>
        <v>Medium Productivity</v>
      </c>
      <c r="Q41" t="str">
        <f>IF(C41="Sales","Arjun Mehta",IF(C41="Marketing","Priya Nair",IF(C41="Finance","Rahul Sharma",IF(C41="HR","Ananya Iyer",IF(C41="Operations","Vikram Rao",IF(C41="IT","Karthik Menon",IF(C41="Product","Neha Kapoor","Rohan Verma")))))))</f>
        <v>Neha Kapoor</v>
      </c>
      <c r="R41" s="13">
        <f t="shared" si="6"/>
        <v>46113</v>
      </c>
    </row>
    <row r="42" spans="1:18">
      <c r="A42" s="2" t="s">
        <v>133</v>
      </c>
      <c r="B42" s="2" t="s">
        <v>134</v>
      </c>
      <c r="C42" s="2" t="s">
        <v>32</v>
      </c>
      <c r="D42" s="2" t="s">
        <v>123</v>
      </c>
      <c r="E42" s="2">
        <v>3</v>
      </c>
      <c r="F42" s="2">
        <v>17</v>
      </c>
      <c r="G42" s="2">
        <v>15</v>
      </c>
      <c r="H42" s="2">
        <v>184</v>
      </c>
      <c r="I42" s="2">
        <v>51</v>
      </c>
      <c r="J42" s="2">
        <v>2</v>
      </c>
      <c r="K42" s="3" t="s">
        <v>45</v>
      </c>
      <c r="L42" s="6">
        <f t="shared" si="0"/>
        <v>0.27717391304347827</v>
      </c>
      <c r="M42" s="6">
        <f t="shared" si="1"/>
        <v>0.88235294117647056</v>
      </c>
      <c r="N42" t="str">
        <f t="shared" si="2"/>
        <v>Low</v>
      </c>
      <c r="O42" t="str">
        <f t="shared" si="3"/>
        <v>Meets Expectations</v>
      </c>
      <c r="P42" t="str">
        <f t="shared" si="4"/>
        <v>Medium Productivity</v>
      </c>
      <c r="Q42" t="str">
        <f t="shared" si="5"/>
        <v>Ananya Iyer</v>
      </c>
      <c r="R42" s="13">
        <f t="shared" si="6"/>
        <v>46143</v>
      </c>
    </row>
    <row r="43" spans="1:18" ht="28.8">
      <c r="A43" s="2" t="s">
        <v>135</v>
      </c>
      <c r="B43" s="2" t="s">
        <v>136</v>
      </c>
      <c r="C43" s="2" t="s">
        <v>13</v>
      </c>
      <c r="D43" s="2" t="s">
        <v>120</v>
      </c>
      <c r="E43" s="2">
        <v>4</v>
      </c>
      <c r="F43" s="2">
        <v>14</v>
      </c>
      <c r="G43" s="2">
        <v>13</v>
      </c>
      <c r="H43" s="2">
        <v>183</v>
      </c>
      <c r="I43" s="2">
        <v>147</v>
      </c>
      <c r="J43" s="2">
        <v>10</v>
      </c>
      <c r="K43" s="3" t="s">
        <v>40</v>
      </c>
      <c r="L43" s="6">
        <f t="shared" si="0"/>
        <v>0.80327868852459017</v>
      </c>
      <c r="M43" s="6">
        <f t="shared" si="1"/>
        <v>0.9285714285714286</v>
      </c>
      <c r="N43" t="str">
        <f t="shared" si="2"/>
        <v>Medium</v>
      </c>
      <c r="O43" t="str">
        <f t="shared" si="3"/>
        <v>Star Performer</v>
      </c>
      <c r="P43" t="str">
        <f t="shared" si="4"/>
        <v>High Productivity</v>
      </c>
      <c r="Q43" t="str">
        <f t="shared" si="5"/>
        <v>Neha Kapoor</v>
      </c>
      <c r="R43" s="13">
        <f t="shared" si="6"/>
        <v>46174</v>
      </c>
    </row>
    <row r="44" spans="1:18" ht="28.8">
      <c r="A44" s="2" t="s">
        <v>137</v>
      </c>
      <c r="B44" s="2" t="s">
        <v>138</v>
      </c>
      <c r="C44" s="2" t="s">
        <v>32</v>
      </c>
      <c r="D44" s="2" t="s">
        <v>33</v>
      </c>
      <c r="E44" s="2">
        <v>5</v>
      </c>
      <c r="F44" s="2">
        <v>19</v>
      </c>
      <c r="G44" s="2">
        <v>21</v>
      </c>
      <c r="H44" s="2">
        <v>177</v>
      </c>
      <c r="I44" s="2">
        <v>30</v>
      </c>
      <c r="J44" s="2">
        <v>15</v>
      </c>
      <c r="K44" s="3" t="s">
        <v>61</v>
      </c>
      <c r="L44" s="6">
        <f t="shared" si="0"/>
        <v>0.16949152542372881</v>
      </c>
      <c r="M44" s="6">
        <f t="shared" si="1"/>
        <v>1.1052631578947369</v>
      </c>
      <c r="N44" t="str">
        <f t="shared" si="2"/>
        <v>Medium</v>
      </c>
      <c r="O44" t="str">
        <f t="shared" si="3"/>
        <v>Meets Expectations</v>
      </c>
      <c r="P44" t="str">
        <f t="shared" si="4"/>
        <v>High Productivity</v>
      </c>
      <c r="Q44" t="str">
        <f t="shared" si="5"/>
        <v>Ananya Iyer</v>
      </c>
      <c r="R44" s="13">
        <f t="shared" si="6"/>
        <v>46204</v>
      </c>
    </row>
    <row r="45" spans="1:18">
      <c r="A45" s="2" t="s">
        <v>139</v>
      </c>
      <c r="B45" s="2" t="s">
        <v>140</v>
      </c>
      <c r="C45" s="2" t="s">
        <v>43</v>
      </c>
      <c r="D45" s="2" t="s">
        <v>56</v>
      </c>
      <c r="E45" s="2">
        <v>3</v>
      </c>
      <c r="F45" s="2">
        <v>16</v>
      </c>
      <c r="G45" s="2">
        <v>15</v>
      </c>
      <c r="H45" s="2">
        <v>182</v>
      </c>
      <c r="I45" s="2">
        <v>88</v>
      </c>
      <c r="J45" s="2">
        <v>12</v>
      </c>
      <c r="K45" s="3" t="s">
        <v>45</v>
      </c>
      <c r="L45" s="6">
        <f t="shared" si="0"/>
        <v>0.48351648351648352</v>
      </c>
      <c r="M45" s="6">
        <f t="shared" si="1"/>
        <v>0.9375</v>
      </c>
      <c r="N45" t="str">
        <f t="shared" si="2"/>
        <v>Medium</v>
      </c>
      <c r="O45" t="str">
        <f t="shared" si="3"/>
        <v>Meets Expectations</v>
      </c>
      <c r="P45" t="str">
        <f t="shared" si="4"/>
        <v>High Productivity</v>
      </c>
      <c r="Q45" t="str">
        <f t="shared" si="5"/>
        <v>Arjun Mehta</v>
      </c>
      <c r="R45" s="13">
        <f t="shared" si="6"/>
        <v>46235</v>
      </c>
    </row>
    <row r="46" spans="1:18" ht="28.8">
      <c r="A46" s="2" t="s">
        <v>141</v>
      </c>
      <c r="B46" s="2" t="s">
        <v>142</v>
      </c>
      <c r="C46" s="2" t="s">
        <v>27</v>
      </c>
      <c r="D46" s="2" t="s">
        <v>104</v>
      </c>
      <c r="E46" s="2">
        <v>3</v>
      </c>
      <c r="F46" s="2">
        <v>22</v>
      </c>
      <c r="G46" s="2">
        <v>19</v>
      </c>
      <c r="H46" s="2">
        <v>167</v>
      </c>
      <c r="I46" s="2">
        <v>100</v>
      </c>
      <c r="J46" s="2">
        <v>8</v>
      </c>
      <c r="K46" s="3" t="s">
        <v>37</v>
      </c>
      <c r="L46" s="6">
        <f t="shared" si="0"/>
        <v>0.59880239520958078</v>
      </c>
      <c r="M46" s="6">
        <f t="shared" si="1"/>
        <v>0.86363636363636365</v>
      </c>
      <c r="N46" t="str">
        <f t="shared" si="2"/>
        <v>Low</v>
      </c>
      <c r="O46" t="str">
        <f t="shared" si="3"/>
        <v>Meets Expectations</v>
      </c>
      <c r="P46" t="str">
        <f t="shared" si="4"/>
        <v>Medium Productivity</v>
      </c>
      <c r="Q46" t="str">
        <f t="shared" si="5"/>
        <v>Vikram Rao</v>
      </c>
      <c r="R46" s="13">
        <f t="shared" si="6"/>
        <v>46266</v>
      </c>
    </row>
    <row r="47" spans="1:18">
      <c r="A47" s="2" t="s">
        <v>143</v>
      </c>
      <c r="B47" s="2" t="s">
        <v>144</v>
      </c>
      <c r="C47" s="2" t="s">
        <v>48</v>
      </c>
      <c r="D47" s="2" t="s">
        <v>75</v>
      </c>
      <c r="E47" s="2">
        <v>3</v>
      </c>
      <c r="F47" s="2">
        <v>30</v>
      </c>
      <c r="G47" s="2">
        <v>23</v>
      </c>
      <c r="H47" s="2">
        <v>171</v>
      </c>
      <c r="I47" s="2">
        <v>98</v>
      </c>
      <c r="J47" s="2">
        <v>15</v>
      </c>
      <c r="K47" s="3" t="s">
        <v>45</v>
      </c>
      <c r="L47" s="6">
        <f t="shared" si="0"/>
        <v>0.57309941520467833</v>
      </c>
      <c r="M47" s="6">
        <f t="shared" si="1"/>
        <v>0.76666666666666672</v>
      </c>
      <c r="N47" t="str">
        <f t="shared" si="2"/>
        <v>Medium</v>
      </c>
      <c r="O47" t="str">
        <f t="shared" si="3"/>
        <v>Meets Expectations</v>
      </c>
      <c r="P47" t="str">
        <f t="shared" si="4"/>
        <v>Medium Productivity</v>
      </c>
      <c r="Q47" t="str">
        <f t="shared" si="5"/>
        <v>Priya Nair</v>
      </c>
      <c r="R47" s="13">
        <f t="shared" si="6"/>
        <v>46296</v>
      </c>
    </row>
    <row r="48" spans="1:18">
      <c r="A48" s="2" t="s">
        <v>145</v>
      </c>
      <c r="B48" s="2" t="s">
        <v>146</v>
      </c>
      <c r="C48" s="2" t="s">
        <v>52</v>
      </c>
      <c r="D48" s="2" t="s">
        <v>53</v>
      </c>
      <c r="E48" s="2">
        <v>4</v>
      </c>
      <c r="F48" s="2">
        <v>15</v>
      </c>
      <c r="G48" s="2">
        <v>15</v>
      </c>
      <c r="H48" s="2">
        <v>166</v>
      </c>
      <c r="I48" s="2">
        <v>95</v>
      </c>
      <c r="J48" s="2">
        <v>5</v>
      </c>
      <c r="K48" s="3" t="s">
        <v>24</v>
      </c>
      <c r="L48" s="6">
        <f t="shared" si="0"/>
        <v>0.57228915662650603</v>
      </c>
      <c r="M48" s="6">
        <f t="shared" si="1"/>
        <v>1</v>
      </c>
      <c r="N48" t="str">
        <f t="shared" si="2"/>
        <v>Low</v>
      </c>
      <c r="O48" t="str">
        <f t="shared" si="3"/>
        <v>Meets Expectations</v>
      </c>
      <c r="P48" t="str">
        <f t="shared" si="4"/>
        <v>High Productivity</v>
      </c>
      <c r="Q48" t="str">
        <f t="shared" si="5"/>
        <v>Rohan Verma</v>
      </c>
      <c r="R48" s="13">
        <f t="shared" si="6"/>
        <v>46327</v>
      </c>
    </row>
    <row r="49" spans="1:18" ht="28.8">
      <c r="A49" s="2" t="s">
        <v>147</v>
      </c>
      <c r="B49" s="2" t="s">
        <v>148</v>
      </c>
      <c r="C49" s="2" t="s">
        <v>52</v>
      </c>
      <c r="D49" s="2" t="s">
        <v>81</v>
      </c>
      <c r="E49" s="2">
        <v>5</v>
      </c>
      <c r="F49" s="2">
        <v>16</v>
      </c>
      <c r="G49" s="2">
        <v>18</v>
      </c>
      <c r="H49" s="2">
        <v>160</v>
      </c>
      <c r="I49" s="2">
        <v>104</v>
      </c>
      <c r="J49" s="2">
        <v>13</v>
      </c>
      <c r="K49" s="3" t="s">
        <v>89</v>
      </c>
      <c r="L49" s="6">
        <f t="shared" si="0"/>
        <v>0.65</v>
      </c>
      <c r="M49" s="6">
        <f t="shared" si="1"/>
        <v>1.125</v>
      </c>
      <c r="N49" t="str">
        <f t="shared" si="2"/>
        <v>Medium</v>
      </c>
      <c r="O49" t="str">
        <f t="shared" si="3"/>
        <v>Meets Expectations</v>
      </c>
      <c r="P49" t="str">
        <f t="shared" si="4"/>
        <v>High Productivity</v>
      </c>
      <c r="Q49" t="str">
        <f t="shared" si="5"/>
        <v>Rohan Verma</v>
      </c>
      <c r="R49" s="13">
        <f t="shared" si="6"/>
        <v>46357</v>
      </c>
    </row>
    <row r="50" spans="1:18">
      <c r="A50" s="2" t="s">
        <v>149</v>
      </c>
      <c r="B50" s="2" t="s">
        <v>150</v>
      </c>
      <c r="C50" s="2" t="s">
        <v>43</v>
      </c>
      <c r="D50" s="2" t="s">
        <v>56</v>
      </c>
      <c r="E50" s="2">
        <v>3</v>
      </c>
      <c r="F50" s="2">
        <v>27</v>
      </c>
      <c r="G50" s="2">
        <v>18</v>
      </c>
      <c r="H50" s="2">
        <v>164</v>
      </c>
      <c r="I50" s="2">
        <v>100</v>
      </c>
      <c r="J50" s="2">
        <v>9</v>
      </c>
      <c r="K50" s="3" t="s">
        <v>84</v>
      </c>
      <c r="L50" s="6">
        <f t="shared" si="0"/>
        <v>0.6097560975609756</v>
      </c>
      <c r="M50" s="6">
        <f t="shared" si="1"/>
        <v>0.66666666666666663</v>
      </c>
      <c r="N50" t="str">
        <f t="shared" si="2"/>
        <v>Low</v>
      </c>
      <c r="O50" t="str">
        <f t="shared" si="3"/>
        <v>Meets Expectations</v>
      </c>
      <c r="P50" t="str">
        <f t="shared" si="4"/>
        <v>Medium Productivity</v>
      </c>
      <c r="Q50" t="str">
        <f t="shared" si="5"/>
        <v>Arjun Mehta</v>
      </c>
      <c r="R50" s="13">
        <f t="shared" si="6"/>
        <v>46023</v>
      </c>
    </row>
    <row r="51" spans="1:18">
      <c r="A51" s="2" t="s">
        <v>151</v>
      </c>
      <c r="B51" s="2" t="s">
        <v>152</v>
      </c>
      <c r="C51" s="2" t="s">
        <v>52</v>
      </c>
      <c r="D51" s="2" t="s">
        <v>81</v>
      </c>
      <c r="E51" s="2">
        <v>3</v>
      </c>
      <c r="F51" s="2">
        <v>27</v>
      </c>
      <c r="G51" s="2">
        <v>18</v>
      </c>
      <c r="H51" s="2">
        <v>169</v>
      </c>
      <c r="I51" s="2">
        <v>137</v>
      </c>
      <c r="J51" s="2">
        <v>5</v>
      </c>
      <c r="K51" s="3" t="s">
        <v>45</v>
      </c>
      <c r="L51" s="6">
        <f t="shared" si="0"/>
        <v>0.81065088757396453</v>
      </c>
      <c r="M51" s="6">
        <f t="shared" si="1"/>
        <v>0.66666666666666663</v>
      </c>
      <c r="N51" t="str">
        <f t="shared" si="2"/>
        <v>Low</v>
      </c>
      <c r="O51" t="str">
        <f t="shared" si="3"/>
        <v>Meets Expectations</v>
      </c>
      <c r="P51" t="str">
        <f t="shared" si="4"/>
        <v>Medium Productivity</v>
      </c>
      <c r="Q51" t="str">
        <f t="shared" si="5"/>
        <v>Rohan Verma</v>
      </c>
      <c r="R51" s="13">
        <f t="shared" si="6"/>
        <v>46054</v>
      </c>
    </row>
    <row r="52" spans="1:18">
      <c r="A52" s="2" t="s">
        <v>153</v>
      </c>
      <c r="B52" s="2" t="s">
        <v>154</v>
      </c>
      <c r="C52" s="2" t="s">
        <v>13</v>
      </c>
      <c r="D52" s="2" t="s">
        <v>14</v>
      </c>
      <c r="E52" s="2">
        <v>2</v>
      </c>
      <c r="F52" s="2">
        <v>14</v>
      </c>
      <c r="G52" s="2">
        <v>9</v>
      </c>
      <c r="H52" s="2">
        <v>175</v>
      </c>
      <c r="I52" s="2">
        <v>66</v>
      </c>
      <c r="J52" s="2">
        <v>23</v>
      </c>
      <c r="K52" s="3" t="s">
        <v>15</v>
      </c>
      <c r="L52" s="6">
        <f t="shared" si="0"/>
        <v>0.37714285714285717</v>
      </c>
      <c r="M52" s="6">
        <f t="shared" si="1"/>
        <v>0.6428571428571429</v>
      </c>
      <c r="N52" t="str">
        <f t="shared" si="2"/>
        <v>High</v>
      </c>
      <c r="O52" t="str">
        <f t="shared" si="3"/>
        <v>Needs Improvement</v>
      </c>
      <c r="P52" t="str">
        <f t="shared" si="4"/>
        <v>Medium Productivity</v>
      </c>
      <c r="Q52" t="str">
        <f t="shared" si="5"/>
        <v>Neha Kapoor</v>
      </c>
      <c r="R52" s="13">
        <f t="shared" si="6"/>
        <v>46082</v>
      </c>
    </row>
    <row r="53" spans="1:18">
      <c r="A53" s="2" t="s">
        <v>155</v>
      </c>
      <c r="B53" s="2" t="s">
        <v>156</v>
      </c>
      <c r="C53" s="2" t="s">
        <v>27</v>
      </c>
      <c r="D53" s="2" t="s">
        <v>104</v>
      </c>
      <c r="E53" s="2">
        <v>4</v>
      </c>
      <c r="F53" s="2">
        <v>24</v>
      </c>
      <c r="G53" s="2">
        <v>24</v>
      </c>
      <c r="H53" s="2">
        <v>168</v>
      </c>
      <c r="I53" s="2">
        <v>93</v>
      </c>
      <c r="J53" s="2">
        <v>10</v>
      </c>
      <c r="K53" s="3" t="s">
        <v>24</v>
      </c>
      <c r="L53" s="6">
        <f t="shared" si="0"/>
        <v>0.5535714285714286</v>
      </c>
      <c r="M53" s="6">
        <f t="shared" si="1"/>
        <v>1</v>
      </c>
      <c r="N53" t="str">
        <f t="shared" si="2"/>
        <v>Medium</v>
      </c>
      <c r="O53" t="str">
        <f t="shared" si="3"/>
        <v>Meets Expectations</v>
      </c>
      <c r="P53" t="str">
        <f t="shared" si="4"/>
        <v>High Productivity</v>
      </c>
      <c r="Q53" t="str">
        <f t="shared" si="5"/>
        <v>Vikram Rao</v>
      </c>
      <c r="R53" s="13">
        <f t="shared" si="6"/>
        <v>46113</v>
      </c>
    </row>
    <row r="54" spans="1:18">
      <c r="A54" s="2" t="s">
        <v>157</v>
      </c>
      <c r="B54" s="2" t="s">
        <v>158</v>
      </c>
      <c r="C54" s="2" t="s">
        <v>18</v>
      </c>
      <c r="D54" s="2" t="s">
        <v>19</v>
      </c>
      <c r="E54" s="2">
        <v>3</v>
      </c>
      <c r="F54" s="2">
        <v>18</v>
      </c>
      <c r="G54" s="2">
        <v>16</v>
      </c>
      <c r="H54" s="2">
        <v>188</v>
      </c>
      <c r="I54" s="2">
        <v>145</v>
      </c>
      <c r="J54" s="2">
        <v>8</v>
      </c>
      <c r="K54" s="3" t="s">
        <v>84</v>
      </c>
      <c r="L54" s="6">
        <f t="shared" si="0"/>
        <v>0.77127659574468088</v>
      </c>
      <c r="M54" s="6">
        <f t="shared" si="1"/>
        <v>0.88888888888888884</v>
      </c>
      <c r="N54" t="str">
        <f t="shared" si="2"/>
        <v>Low</v>
      </c>
      <c r="O54" t="str">
        <f t="shared" si="3"/>
        <v>Meets Expectations</v>
      </c>
      <c r="P54" t="str">
        <f t="shared" si="4"/>
        <v>Medium Productivity</v>
      </c>
      <c r="Q54" t="str">
        <f>IF(C54="Sales","Arjun Mehta",IF(C54="Marketing","Priya Nair",IF(C54="Finance","Rahul Sharma",IF(C54="HR","Ananya Iyer",IF(C54="Operations","Vikram Rao",IF(C54="IT","Karthik Menon",IF(C54="Product","Neha Kapoor","Rohan Verma")))))))</f>
        <v>Karthik Menon</v>
      </c>
      <c r="R54" s="13">
        <f t="shared" si="6"/>
        <v>46143</v>
      </c>
    </row>
    <row r="55" spans="1:18">
      <c r="A55" s="2" t="s">
        <v>159</v>
      </c>
      <c r="B55" s="2" t="s">
        <v>160</v>
      </c>
      <c r="C55" s="2" t="s">
        <v>13</v>
      </c>
      <c r="D55" s="2" t="s">
        <v>14</v>
      </c>
      <c r="E55" s="2">
        <v>4</v>
      </c>
      <c r="F55" s="2">
        <v>13</v>
      </c>
      <c r="G55" s="2">
        <v>11</v>
      </c>
      <c r="H55" s="2">
        <v>173</v>
      </c>
      <c r="I55" s="2">
        <v>99</v>
      </c>
      <c r="J55" s="2">
        <v>15</v>
      </c>
      <c r="K55" s="3" t="s">
        <v>24</v>
      </c>
      <c r="L55" s="6">
        <f t="shared" si="0"/>
        <v>0.5722543352601156</v>
      </c>
      <c r="M55" s="6">
        <f t="shared" si="1"/>
        <v>0.84615384615384615</v>
      </c>
      <c r="N55" t="str">
        <f t="shared" si="2"/>
        <v>Medium</v>
      </c>
      <c r="O55" t="str">
        <f t="shared" si="3"/>
        <v>Meets Expectations</v>
      </c>
      <c r="P55" t="str">
        <f t="shared" si="4"/>
        <v>Medium Productivity</v>
      </c>
      <c r="Q55" t="str">
        <f t="shared" si="5"/>
        <v>Neha Kapoor</v>
      </c>
      <c r="R55" s="13">
        <f t="shared" si="6"/>
        <v>46174</v>
      </c>
    </row>
    <row r="56" spans="1:18">
      <c r="A56" s="2" t="s">
        <v>161</v>
      </c>
      <c r="B56" s="2" t="s">
        <v>162</v>
      </c>
      <c r="C56" s="2" t="s">
        <v>48</v>
      </c>
      <c r="D56" s="2" t="s">
        <v>75</v>
      </c>
      <c r="E56" s="2">
        <v>3</v>
      </c>
      <c r="F56" s="2">
        <v>14</v>
      </c>
      <c r="G56" s="2">
        <v>11</v>
      </c>
      <c r="H56" s="2">
        <v>155</v>
      </c>
      <c r="I56" s="2">
        <v>97</v>
      </c>
      <c r="J56" s="2">
        <v>11</v>
      </c>
      <c r="K56" s="3" t="s">
        <v>45</v>
      </c>
      <c r="L56" s="6">
        <f t="shared" si="0"/>
        <v>0.62580645161290327</v>
      </c>
      <c r="M56" s="6">
        <f t="shared" si="1"/>
        <v>0.7857142857142857</v>
      </c>
      <c r="N56" t="str">
        <f t="shared" si="2"/>
        <v>Medium</v>
      </c>
      <c r="O56" t="str">
        <f t="shared" si="3"/>
        <v>Meets Expectations</v>
      </c>
      <c r="P56" t="str">
        <f t="shared" si="4"/>
        <v>Medium Productivity</v>
      </c>
      <c r="Q56" t="str">
        <f t="shared" si="5"/>
        <v>Priya Nair</v>
      </c>
      <c r="R56" s="13">
        <f t="shared" si="6"/>
        <v>46204</v>
      </c>
    </row>
    <row r="57" spans="1:18" ht="28.8">
      <c r="A57" s="2" t="s">
        <v>163</v>
      </c>
      <c r="B57" s="2" t="s">
        <v>164</v>
      </c>
      <c r="C57" s="2" t="s">
        <v>13</v>
      </c>
      <c r="D57" s="2" t="s">
        <v>14</v>
      </c>
      <c r="E57" s="2">
        <v>4</v>
      </c>
      <c r="F57" s="2">
        <v>12</v>
      </c>
      <c r="G57" s="2">
        <v>12</v>
      </c>
      <c r="H57" s="2">
        <v>177</v>
      </c>
      <c r="I57" s="2">
        <v>76</v>
      </c>
      <c r="J57" s="2">
        <v>6</v>
      </c>
      <c r="K57" s="3" t="s">
        <v>40</v>
      </c>
      <c r="L57" s="6">
        <f t="shared" si="0"/>
        <v>0.42937853107344631</v>
      </c>
      <c r="M57" s="6">
        <f t="shared" si="1"/>
        <v>1</v>
      </c>
      <c r="N57" t="str">
        <f t="shared" si="2"/>
        <v>Low</v>
      </c>
      <c r="O57" t="str">
        <f t="shared" si="3"/>
        <v>Meets Expectations</v>
      </c>
      <c r="P57" t="str">
        <f t="shared" si="4"/>
        <v>High Productivity</v>
      </c>
      <c r="Q57" t="str">
        <f t="shared" si="5"/>
        <v>Neha Kapoor</v>
      </c>
      <c r="R57" s="13">
        <f t="shared" si="6"/>
        <v>46235</v>
      </c>
    </row>
    <row r="58" spans="1:18" ht="28.8">
      <c r="A58" s="2" t="s">
        <v>165</v>
      </c>
      <c r="B58" s="2" t="s">
        <v>166</v>
      </c>
      <c r="C58" s="2" t="s">
        <v>18</v>
      </c>
      <c r="D58" s="2" t="s">
        <v>19</v>
      </c>
      <c r="E58" s="2">
        <v>5</v>
      </c>
      <c r="F58" s="2">
        <v>21</v>
      </c>
      <c r="G58" s="2">
        <v>22</v>
      </c>
      <c r="H58" s="2">
        <v>181</v>
      </c>
      <c r="I58" s="2">
        <v>119</v>
      </c>
      <c r="J58" s="2">
        <v>9</v>
      </c>
      <c r="K58" s="3" t="s">
        <v>61</v>
      </c>
      <c r="L58" s="6">
        <f t="shared" si="0"/>
        <v>0.65745856353591159</v>
      </c>
      <c r="M58" s="6">
        <f t="shared" si="1"/>
        <v>1.0476190476190477</v>
      </c>
      <c r="N58" t="str">
        <f t="shared" si="2"/>
        <v>Low</v>
      </c>
      <c r="O58" t="str">
        <f t="shared" si="3"/>
        <v>Meets Expectations</v>
      </c>
      <c r="P58" t="str">
        <f t="shared" si="4"/>
        <v>High Productivity</v>
      </c>
      <c r="Q58" t="str">
        <f t="shared" si="5"/>
        <v>Karthik Menon</v>
      </c>
      <c r="R58" s="13">
        <f t="shared" si="6"/>
        <v>46266</v>
      </c>
    </row>
    <row r="59" spans="1:18">
      <c r="A59" s="2" t="s">
        <v>167</v>
      </c>
      <c r="B59" s="2" t="s">
        <v>168</v>
      </c>
      <c r="C59" s="2" t="s">
        <v>59</v>
      </c>
      <c r="D59" s="2" t="s">
        <v>101</v>
      </c>
      <c r="E59" s="2">
        <v>3</v>
      </c>
      <c r="F59" s="2">
        <v>10</v>
      </c>
      <c r="G59" s="2">
        <v>8</v>
      </c>
      <c r="H59" s="2">
        <v>182</v>
      </c>
      <c r="I59" s="2">
        <v>97</v>
      </c>
      <c r="J59" s="2">
        <v>13</v>
      </c>
      <c r="K59" s="3" t="s">
        <v>84</v>
      </c>
      <c r="L59" s="6">
        <f t="shared" si="0"/>
        <v>0.53296703296703296</v>
      </c>
      <c r="M59" s="6">
        <f t="shared" si="1"/>
        <v>0.8</v>
      </c>
      <c r="N59" t="str">
        <f t="shared" si="2"/>
        <v>Medium</v>
      </c>
      <c r="O59" t="str">
        <f t="shared" si="3"/>
        <v>Meets Expectations</v>
      </c>
      <c r="P59" t="str">
        <f t="shared" si="4"/>
        <v>Medium Productivity</v>
      </c>
      <c r="Q59" t="str">
        <f t="shared" si="5"/>
        <v>Rahul Sharma</v>
      </c>
      <c r="R59" s="13">
        <f t="shared" si="6"/>
        <v>46296</v>
      </c>
    </row>
    <row r="60" spans="1:18">
      <c r="A60" s="2" t="s">
        <v>169</v>
      </c>
      <c r="B60" s="2" t="s">
        <v>170</v>
      </c>
      <c r="C60" s="2" t="s">
        <v>43</v>
      </c>
      <c r="D60" s="2" t="s">
        <v>56</v>
      </c>
      <c r="E60" s="2">
        <v>4</v>
      </c>
      <c r="F60" s="2">
        <v>14</v>
      </c>
      <c r="G60" s="2">
        <v>13</v>
      </c>
      <c r="H60" s="2">
        <v>189</v>
      </c>
      <c r="I60" s="2">
        <v>87</v>
      </c>
      <c r="J60" s="2">
        <v>13</v>
      </c>
      <c r="K60" s="3" t="s">
        <v>34</v>
      </c>
      <c r="L60" s="6">
        <f t="shared" si="0"/>
        <v>0.46031746031746029</v>
      </c>
      <c r="M60" s="6">
        <f t="shared" si="1"/>
        <v>0.9285714285714286</v>
      </c>
      <c r="N60" t="str">
        <f t="shared" si="2"/>
        <v>Medium</v>
      </c>
      <c r="O60" t="str">
        <f t="shared" si="3"/>
        <v>Meets Expectations</v>
      </c>
      <c r="P60" t="str">
        <f t="shared" si="4"/>
        <v>High Productivity</v>
      </c>
      <c r="Q60" t="str">
        <f t="shared" si="5"/>
        <v>Arjun Mehta</v>
      </c>
      <c r="R60" s="13">
        <f t="shared" si="6"/>
        <v>46327</v>
      </c>
    </row>
    <row r="61" spans="1:18">
      <c r="A61" s="2" t="s">
        <v>171</v>
      </c>
      <c r="B61" s="2" t="s">
        <v>172</v>
      </c>
      <c r="C61" s="2" t="s">
        <v>52</v>
      </c>
      <c r="D61" s="2" t="s">
        <v>173</v>
      </c>
      <c r="E61" s="2">
        <v>3</v>
      </c>
      <c r="F61" s="2">
        <v>16</v>
      </c>
      <c r="G61" s="2">
        <v>14</v>
      </c>
      <c r="H61" s="2">
        <v>202</v>
      </c>
      <c r="I61" s="2">
        <v>160</v>
      </c>
      <c r="J61" s="2">
        <v>7</v>
      </c>
      <c r="K61" s="3" t="s">
        <v>45</v>
      </c>
      <c r="L61" s="6">
        <f t="shared" si="0"/>
        <v>0.79207920792079212</v>
      </c>
      <c r="M61" s="6">
        <f t="shared" si="1"/>
        <v>0.875</v>
      </c>
      <c r="N61" t="str">
        <f t="shared" si="2"/>
        <v>Low</v>
      </c>
      <c r="O61" t="str">
        <f t="shared" si="3"/>
        <v>Meets Expectations</v>
      </c>
      <c r="P61" t="str">
        <f t="shared" si="4"/>
        <v>Medium Productivity</v>
      </c>
      <c r="Q61" t="str">
        <f t="shared" si="5"/>
        <v>Rohan Verma</v>
      </c>
      <c r="R61" s="13">
        <f t="shared" si="6"/>
        <v>46357</v>
      </c>
    </row>
    <row r="62" spans="1:18">
      <c r="A62" s="2" t="s">
        <v>174</v>
      </c>
      <c r="B62" s="2" t="s">
        <v>175</v>
      </c>
      <c r="C62" s="2" t="s">
        <v>27</v>
      </c>
      <c r="D62" s="2" t="s">
        <v>128</v>
      </c>
      <c r="E62" s="2">
        <v>2</v>
      </c>
      <c r="F62" s="2">
        <v>15</v>
      </c>
      <c r="G62" s="2">
        <v>9</v>
      </c>
      <c r="H62" s="2">
        <v>201</v>
      </c>
      <c r="I62" s="2">
        <v>143</v>
      </c>
      <c r="J62" s="2">
        <v>14</v>
      </c>
      <c r="K62" s="3" t="s">
        <v>15</v>
      </c>
      <c r="L62" s="6">
        <f t="shared" si="0"/>
        <v>0.71144278606965172</v>
      </c>
      <c r="M62" s="6">
        <f t="shared" si="1"/>
        <v>0.6</v>
      </c>
      <c r="N62" t="str">
        <f t="shared" si="2"/>
        <v>Medium</v>
      </c>
      <c r="O62" t="str">
        <f t="shared" si="3"/>
        <v>Needs Improvement</v>
      </c>
      <c r="P62" t="str">
        <f t="shared" si="4"/>
        <v>Medium Productivity</v>
      </c>
      <c r="Q62" t="str">
        <f t="shared" si="5"/>
        <v>Vikram Rao</v>
      </c>
      <c r="R62" s="13">
        <f t="shared" si="6"/>
        <v>46023</v>
      </c>
    </row>
    <row r="63" spans="1:18">
      <c r="A63" s="2" t="s">
        <v>176</v>
      </c>
      <c r="B63" s="2" t="s">
        <v>177</v>
      </c>
      <c r="C63" s="2" t="s">
        <v>43</v>
      </c>
      <c r="D63" s="2" t="s">
        <v>44</v>
      </c>
      <c r="E63" s="2">
        <v>4</v>
      </c>
      <c r="F63" s="2">
        <v>28</v>
      </c>
      <c r="G63" s="2">
        <v>26</v>
      </c>
      <c r="H63" s="2">
        <v>193</v>
      </c>
      <c r="I63" s="2">
        <v>87</v>
      </c>
      <c r="J63" s="2">
        <v>7</v>
      </c>
      <c r="K63" s="3" t="s">
        <v>24</v>
      </c>
      <c r="L63" s="6">
        <f t="shared" si="0"/>
        <v>0.45077720207253885</v>
      </c>
      <c r="M63" s="6">
        <f t="shared" si="1"/>
        <v>0.9285714285714286</v>
      </c>
      <c r="N63" t="str">
        <f t="shared" si="2"/>
        <v>Low</v>
      </c>
      <c r="O63" t="str">
        <f t="shared" si="3"/>
        <v>Meets Expectations</v>
      </c>
      <c r="P63" t="str">
        <f t="shared" si="4"/>
        <v>High Productivity</v>
      </c>
      <c r="Q63" t="str">
        <f t="shared" si="5"/>
        <v>Arjun Mehta</v>
      </c>
      <c r="R63" s="13">
        <f t="shared" si="6"/>
        <v>46054</v>
      </c>
    </row>
    <row r="64" spans="1:18" ht="28.8">
      <c r="A64" s="2" t="s">
        <v>178</v>
      </c>
      <c r="B64" s="2" t="s">
        <v>179</v>
      </c>
      <c r="C64" s="2" t="s">
        <v>18</v>
      </c>
      <c r="D64" s="2" t="s">
        <v>19</v>
      </c>
      <c r="E64" s="2">
        <v>3</v>
      </c>
      <c r="F64" s="2">
        <v>14</v>
      </c>
      <c r="G64" s="2">
        <v>12</v>
      </c>
      <c r="H64" s="2">
        <v>176</v>
      </c>
      <c r="I64" s="2">
        <v>113</v>
      </c>
      <c r="J64" s="2">
        <v>12</v>
      </c>
      <c r="K64" s="3" t="s">
        <v>37</v>
      </c>
      <c r="L64" s="6">
        <f t="shared" si="0"/>
        <v>0.64204545454545459</v>
      </c>
      <c r="M64" s="6">
        <f t="shared" si="1"/>
        <v>0.8571428571428571</v>
      </c>
      <c r="N64" t="str">
        <f t="shared" si="2"/>
        <v>Medium</v>
      </c>
      <c r="O64" t="str">
        <f t="shared" si="3"/>
        <v>Meets Expectations</v>
      </c>
      <c r="P64" t="str">
        <f t="shared" si="4"/>
        <v>Medium Productivity</v>
      </c>
      <c r="Q64" t="str">
        <f t="shared" si="5"/>
        <v>Karthik Menon</v>
      </c>
      <c r="R64" s="13">
        <f t="shared" si="6"/>
        <v>46082</v>
      </c>
    </row>
    <row r="65" spans="1:18">
      <c r="A65" s="2" t="s">
        <v>180</v>
      </c>
      <c r="B65" s="2" t="s">
        <v>181</v>
      </c>
      <c r="C65" s="2" t="s">
        <v>43</v>
      </c>
      <c r="D65" s="2" t="s">
        <v>96</v>
      </c>
      <c r="E65" s="2">
        <v>3</v>
      </c>
      <c r="F65" s="2">
        <v>24</v>
      </c>
      <c r="G65" s="2">
        <v>17</v>
      </c>
      <c r="H65" s="2">
        <v>183</v>
      </c>
      <c r="I65" s="2">
        <v>121</v>
      </c>
      <c r="J65" s="2">
        <v>16</v>
      </c>
      <c r="K65" s="3" t="s">
        <v>84</v>
      </c>
      <c r="L65" s="6">
        <f t="shared" si="0"/>
        <v>0.66120218579234968</v>
      </c>
      <c r="M65" s="6">
        <f t="shared" si="1"/>
        <v>0.70833333333333337</v>
      </c>
      <c r="N65" t="str">
        <f t="shared" si="2"/>
        <v>Medium</v>
      </c>
      <c r="O65" t="str">
        <f t="shared" si="3"/>
        <v>Meets Expectations</v>
      </c>
      <c r="P65" t="str">
        <f t="shared" si="4"/>
        <v>Medium Productivity</v>
      </c>
      <c r="Q65" t="str">
        <f t="shared" si="5"/>
        <v>Arjun Mehta</v>
      </c>
      <c r="R65" s="13">
        <f t="shared" si="6"/>
        <v>46113</v>
      </c>
    </row>
    <row r="66" spans="1:18" ht="28.8">
      <c r="A66" s="2" t="s">
        <v>182</v>
      </c>
      <c r="B66" s="2" t="s">
        <v>183</v>
      </c>
      <c r="C66" s="2" t="s">
        <v>52</v>
      </c>
      <c r="D66" s="2" t="s">
        <v>81</v>
      </c>
      <c r="E66" s="2">
        <v>4</v>
      </c>
      <c r="F66" s="2">
        <v>13</v>
      </c>
      <c r="G66" s="2">
        <v>14</v>
      </c>
      <c r="H66" s="2">
        <v>174</v>
      </c>
      <c r="I66" s="2">
        <v>138</v>
      </c>
      <c r="J66" s="2">
        <v>7</v>
      </c>
      <c r="K66" s="3" t="s">
        <v>40</v>
      </c>
      <c r="L66" s="6">
        <f t="shared" si="0"/>
        <v>0.7931034482758621</v>
      </c>
      <c r="M66" s="6">
        <f t="shared" si="1"/>
        <v>1.0769230769230769</v>
      </c>
      <c r="N66" t="str">
        <f t="shared" si="2"/>
        <v>Low</v>
      </c>
      <c r="O66" t="str">
        <f t="shared" si="3"/>
        <v>Meets Expectations</v>
      </c>
      <c r="P66" t="str">
        <f t="shared" si="4"/>
        <v>High Productivity</v>
      </c>
      <c r="Q66" t="str">
        <f t="shared" si="5"/>
        <v>Rohan Verma</v>
      </c>
      <c r="R66" s="13">
        <f t="shared" si="6"/>
        <v>46143</v>
      </c>
    </row>
    <row r="67" spans="1:18">
      <c r="A67" s="2" t="s">
        <v>184</v>
      </c>
      <c r="B67" s="2" t="s">
        <v>185</v>
      </c>
      <c r="C67" s="2" t="s">
        <v>18</v>
      </c>
      <c r="D67" s="2" t="s">
        <v>23</v>
      </c>
      <c r="E67" s="2">
        <v>4</v>
      </c>
      <c r="F67" s="2">
        <v>10</v>
      </c>
      <c r="G67" s="2">
        <v>10</v>
      </c>
      <c r="H67" s="2">
        <v>195</v>
      </c>
      <c r="I67" s="2">
        <v>117</v>
      </c>
      <c r="J67" s="2">
        <v>12</v>
      </c>
      <c r="K67" s="3" t="s">
        <v>34</v>
      </c>
      <c r="L67" s="6">
        <f t="shared" ref="L67:L130" si="7">IFERROR(I67/H67,0)</f>
        <v>0.6</v>
      </c>
      <c r="M67" s="6">
        <f t="shared" ref="M67:M130" si="8">IFERROR(G67/F67,0)</f>
        <v>1</v>
      </c>
      <c r="N67" t="str">
        <f t="shared" ref="N67:N130" si="9">IF(J67&lt;10,"Low",IF(J67&lt;=20,"Medium","High"))</f>
        <v>Medium</v>
      </c>
      <c r="O67" t="str">
        <f t="shared" ref="O67:O130" si="10">IF(AND(E67&gt;=4,L67&gt;=80%),"Star Performer",IF(E67&gt;=3,"Meets Expectations","Needs Improvement"))</f>
        <v>Meets Expectations</v>
      </c>
      <c r="P67" t="str">
        <f t="shared" ref="P67:P130" si="11">IF(M67&gt;=90%,"High Productivity",IF(M67&gt;=60%,"Medium Productivity","Low Productivity"))</f>
        <v>High Productivity</v>
      </c>
      <c r="Q67" t="str">
        <f t="shared" ref="Q67:Q69" si="12">IF(C67="Sales","Arjun Mehta",IF(C67="Marketing","Priya Nair",IF(C67="Finance","Rahul Sharma",IF(C67="HR","Ananya Iyer",IF(C67="Operations","Vikram Rao",IF(C67="IT","Karthik Menon",IF(C67="Product","Neha Kapoor","Rohan Verma")))))))</f>
        <v>Karthik Menon</v>
      </c>
      <c r="R67" s="13">
        <f t="shared" ref="R67:R130" si="13">DATE(2026,MOD(ROW()-2,12)+1,1)</f>
        <v>46174</v>
      </c>
    </row>
    <row r="68" spans="1:18">
      <c r="A68" s="2" t="s">
        <v>186</v>
      </c>
      <c r="B68" s="2" t="s">
        <v>187</v>
      </c>
      <c r="C68" s="2" t="s">
        <v>52</v>
      </c>
      <c r="D68" s="2" t="s">
        <v>173</v>
      </c>
      <c r="E68" s="2">
        <v>3</v>
      </c>
      <c r="F68" s="2">
        <v>13</v>
      </c>
      <c r="G68" s="2">
        <v>12</v>
      </c>
      <c r="H68" s="2">
        <v>204</v>
      </c>
      <c r="I68" s="2">
        <v>150</v>
      </c>
      <c r="J68" s="2">
        <v>8</v>
      </c>
      <c r="K68" s="3" t="s">
        <v>45</v>
      </c>
      <c r="L68" s="6">
        <f t="shared" si="7"/>
        <v>0.73529411764705888</v>
      </c>
      <c r="M68" s="6">
        <f t="shared" si="8"/>
        <v>0.92307692307692313</v>
      </c>
      <c r="N68" t="str">
        <f t="shared" si="9"/>
        <v>Low</v>
      </c>
      <c r="O68" t="str">
        <f t="shared" si="10"/>
        <v>Meets Expectations</v>
      </c>
      <c r="P68" t="str">
        <f t="shared" si="11"/>
        <v>High Productivity</v>
      </c>
      <c r="Q68" t="str">
        <f t="shared" si="12"/>
        <v>Rohan Verma</v>
      </c>
      <c r="R68" s="13">
        <f t="shared" si="13"/>
        <v>46204</v>
      </c>
    </row>
    <row r="69" spans="1:18">
      <c r="A69" s="2" t="s">
        <v>188</v>
      </c>
      <c r="B69" s="2" t="s">
        <v>189</v>
      </c>
      <c r="C69" s="2" t="s">
        <v>18</v>
      </c>
      <c r="D69" s="2" t="s">
        <v>19</v>
      </c>
      <c r="E69" s="2">
        <v>4</v>
      </c>
      <c r="F69" s="2">
        <v>21</v>
      </c>
      <c r="G69" s="2">
        <v>20</v>
      </c>
      <c r="H69" s="2">
        <v>149</v>
      </c>
      <c r="I69" s="2">
        <v>112</v>
      </c>
      <c r="J69" s="2">
        <v>12</v>
      </c>
      <c r="K69" s="3" t="s">
        <v>34</v>
      </c>
      <c r="L69" s="6">
        <f t="shared" si="7"/>
        <v>0.75167785234899331</v>
      </c>
      <c r="M69" s="6">
        <f t="shared" si="8"/>
        <v>0.95238095238095233</v>
      </c>
      <c r="N69" t="str">
        <f t="shared" si="9"/>
        <v>Medium</v>
      </c>
      <c r="O69" t="str">
        <f t="shared" si="10"/>
        <v>Meets Expectations</v>
      </c>
      <c r="P69" t="str">
        <f t="shared" si="11"/>
        <v>High Productivity</v>
      </c>
      <c r="Q69" t="str">
        <f t="shared" si="12"/>
        <v>Karthik Menon</v>
      </c>
      <c r="R69" s="13">
        <f t="shared" si="13"/>
        <v>46235</v>
      </c>
    </row>
    <row r="70" spans="1:18">
      <c r="A70" s="2" t="s">
        <v>190</v>
      </c>
      <c r="B70" s="2" t="s">
        <v>191</v>
      </c>
      <c r="C70" s="2" t="s">
        <v>52</v>
      </c>
      <c r="D70" s="2" t="s">
        <v>53</v>
      </c>
      <c r="E70" s="2">
        <v>3</v>
      </c>
      <c r="F70" s="2">
        <v>16</v>
      </c>
      <c r="G70" s="2">
        <v>13</v>
      </c>
      <c r="H70" s="2">
        <v>181</v>
      </c>
      <c r="I70" s="2">
        <v>146</v>
      </c>
      <c r="J70" s="2">
        <v>4</v>
      </c>
      <c r="K70" s="3" t="s">
        <v>84</v>
      </c>
      <c r="L70" s="6">
        <f t="shared" si="7"/>
        <v>0.8066298342541437</v>
      </c>
      <c r="M70" s="6">
        <f t="shared" si="8"/>
        <v>0.8125</v>
      </c>
      <c r="N70" t="str">
        <f t="shared" si="9"/>
        <v>Low</v>
      </c>
      <c r="O70" t="str">
        <f t="shared" si="10"/>
        <v>Meets Expectations</v>
      </c>
      <c r="P70" t="str">
        <f t="shared" si="11"/>
        <v>Medium Productivity</v>
      </c>
      <c r="Q70" t="str">
        <f>IF(C70="Sales","Arjun Mehta",IF(C70="Marketing","Priya Nair",IF(C70="Finance","Rahul Sharma",IF(C70="HR","Ananya Iyer",IF(C70="Operations","Vikram Rao",IF(C70="IT","Karthik Menon",IF(C70="Product","Neha Kapoor","Rohan Verma")))))))</f>
        <v>Rohan Verma</v>
      </c>
      <c r="R70" s="13">
        <f t="shared" si="13"/>
        <v>46266</v>
      </c>
    </row>
    <row r="71" spans="1:18" ht="28.8">
      <c r="A71" s="2" t="s">
        <v>192</v>
      </c>
      <c r="B71" s="2" t="s">
        <v>193</v>
      </c>
      <c r="C71" s="2" t="s">
        <v>59</v>
      </c>
      <c r="D71" s="2" t="s">
        <v>60</v>
      </c>
      <c r="E71" s="2">
        <v>2</v>
      </c>
      <c r="F71" s="2">
        <v>14</v>
      </c>
      <c r="G71" s="2">
        <v>7</v>
      </c>
      <c r="H71" s="2">
        <v>196</v>
      </c>
      <c r="I71" s="2">
        <v>68</v>
      </c>
      <c r="J71" s="2">
        <v>18</v>
      </c>
      <c r="K71" s="3" t="s">
        <v>194</v>
      </c>
      <c r="L71" s="6">
        <f t="shared" si="7"/>
        <v>0.34693877551020408</v>
      </c>
      <c r="M71" s="6">
        <f t="shared" si="8"/>
        <v>0.5</v>
      </c>
      <c r="N71" t="str">
        <f t="shared" si="9"/>
        <v>Medium</v>
      </c>
      <c r="O71" t="str">
        <f t="shared" si="10"/>
        <v>Needs Improvement</v>
      </c>
      <c r="P71" t="str">
        <f t="shared" si="11"/>
        <v>Low Productivity</v>
      </c>
      <c r="Q71" t="str">
        <f t="shared" ref="Q71:Q91" si="14">IF(C71="Sales","Arjun Mehta",IF(C71="Marketing","Priya Nair",IF(C71="Finance","Rahul Sharma",IF(C71="HR","Ananya Iyer",IF(C71="Operations","Vikram Rao",IF(C71="IT","Karthik Menon",IF(C71="Product","Neha Kapoor","Rohan Verma")))))))</f>
        <v>Rahul Sharma</v>
      </c>
      <c r="R71" s="13">
        <f t="shared" si="13"/>
        <v>46296</v>
      </c>
    </row>
    <row r="72" spans="1:18" ht="28.8">
      <c r="A72" s="2" t="s">
        <v>195</v>
      </c>
      <c r="B72" s="2" t="s">
        <v>196</v>
      </c>
      <c r="C72" s="2" t="s">
        <v>59</v>
      </c>
      <c r="D72" s="2" t="s">
        <v>60</v>
      </c>
      <c r="E72" s="2">
        <v>3</v>
      </c>
      <c r="F72" s="2">
        <v>9</v>
      </c>
      <c r="G72" s="2">
        <v>6</v>
      </c>
      <c r="H72" s="2">
        <v>183</v>
      </c>
      <c r="I72" s="2">
        <v>69</v>
      </c>
      <c r="J72" s="2">
        <v>14</v>
      </c>
      <c r="K72" s="3" t="s">
        <v>37</v>
      </c>
      <c r="L72" s="6">
        <f t="shared" si="7"/>
        <v>0.37704918032786883</v>
      </c>
      <c r="M72" s="6">
        <f t="shared" si="8"/>
        <v>0.66666666666666663</v>
      </c>
      <c r="N72" t="str">
        <f t="shared" si="9"/>
        <v>Medium</v>
      </c>
      <c r="O72" t="str">
        <f t="shared" si="10"/>
        <v>Meets Expectations</v>
      </c>
      <c r="P72" t="str">
        <f t="shared" si="11"/>
        <v>Medium Productivity</v>
      </c>
      <c r="Q72" t="str">
        <f t="shared" si="14"/>
        <v>Rahul Sharma</v>
      </c>
      <c r="R72" s="13">
        <f t="shared" si="13"/>
        <v>46327</v>
      </c>
    </row>
    <row r="73" spans="1:18">
      <c r="A73" s="2" t="s">
        <v>197</v>
      </c>
      <c r="B73" s="2" t="s">
        <v>198</v>
      </c>
      <c r="C73" s="2" t="s">
        <v>27</v>
      </c>
      <c r="D73" s="2" t="s">
        <v>128</v>
      </c>
      <c r="E73" s="2">
        <v>2</v>
      </c>
      <c r="F73" s="2">
        <v>10</v>
      </c>
      <c r="G73" s="2">
        <v>5</v>
      </c>
      <c r="H73" s="2">
        <v>183</v>
      </c>
      <c r="I73" s="2">
        <v>95</v>
      </c>
      <c r="J73" s="2">
        <v>11</v>
      </c>
      <c r="K73" s="3" t="s">
        <v>29</v>
      </c>
      <c r="L73" s="6">
        <f t="shared" si="7"/>
        <v>0.51912568306010931</v>
      </c>
      <c r="M73" s="6">
        <f t="shared" si="8"/>
        <v>0.5</v>
      </c>
      <c r="N73" t="str">
        <f t="shared" si="9"/>
        <v>Medium</v>
      </c>
      <c r="O73" t="str">
        <f t="shared" si="10"/>
        <v>Needs Improvement</v>
      </c>
      <c r="P73" t="str">
        <f t="shared" si="11"/>
        <v>Low Productivity</v>
      </c>
      <c r="Q73" t="str">
        <f t="shared" si="14"/>
        <v>Vikram Rao</v>
      </c>
      <c r="R73" s="13">
        <f t="shared" si="13"/>
        <v>46357</v>
      </c>
    </row>
    <row r="74" spans="1:18">
      <c r="A74" s="2" t="s">
        <v>199</v>
      </c>
      <c r="B74" s="2" t="s">
        <v>200</v>
      </c>
      <c r="C74" s="2" t="s">
        <v>43</v>
      </c>
      <c r="D74" s="2" t="s">
        <v>44</v>
      </c>
      <c r="E74" s="2">
        <v>4</v>
      </c>
      <c r="F74" s="2">
        <v>26</v>
      </c>
      <c r="G74" s="2">
        <v>21</v>
      </c>
      <c r="H74" s="2">
        <v>176</v>
      </c>
      <c r="I74" s="2">
        <v>104</v>
      </c>
      <c r="J74" s="2">
        <v>10</v>
      </c>
      <c r="K74" s="3" t="s">
        <v>24</v>
      </c>
      <c r="L74" s="6">
        <f t="shared" si="7"/>
        <v>0.59090909090909094</v>
      </c>
      <c r="M74" s="6">
        <f t="shared" si="8"/>
        <v>0.80769230769230771</v>
      </c>
      <c r="N74" t="str">
        <f t="shared" si="9"/>
        <v>Medium</v>
      </c>
      <c r="O74" t="str">
        <f t="shared" si="10"/>
        <v>Meets Expectations</v>
      </c>
      <c r="P74" t="str">
        <f t="shared" si="11"/>
        <v>Medium Productivity</v>
      </c>
      <c r="Q74" t="str">
        <f t="shared" si="14"/>
        <v>Arjun Mehta</v>
      </c>
      <c r="R74" s="13">
        <f t="shared" si="13"/>
        <v>46023</v>
      </c>
    </row>
    <row r="75" spans="1:18">
      <c r="A75" s="2" t="s">
        <v>201</v>
      </c>
      <c r="B75" s="2" t="s">
        <v>202</v>
      </c>
      <c r="C75" s="2" t="s">
        <v>13</v>
      </c>
      <c r="D75" s="2" t="s">
        <v>120</v>
      </c>
      <c r="E75" s="2">
        <v>3</v>
      </c>
      <c r="F75" s="2">
        <v>21</v>
      </c>
      <c r="G75" s="2">
        <v>16</v>
      </c>
      <c r="H75" s="2">
        <v>145</v>
      </c>
      <c r="I75" s="2">
        <v>89</v>
      </c>
      <c r="J75" s="2">
        <v>6</v>
      </c>
      <c r="K75" s="3" t="s">
        <v>84</v>
      </c>
      <c r="L75" s="6">
        <f t="shared" si="7"/>
        <v>0.61379310344827587</v>
      </c>
      <c r="M75" s="6">
        <f t="shared" si="8"/>
        <v>0.76190476190476186</v>
      </c>
      <c r="N75" t="str">
        <f t="shared" si="9"/>
        <v>Low</v>
      </c>
      <c r="O75" t="str">
        <f t="shared" si="10"/>
        <v>Meets Expectations</v>
      </c>
      <c r="P75" t="str">
        <f t="shared" si="11"/>
        <v>Medium Productivity</v>
      </c>
      <c r="Q75" t="str">
        <f t="shared" si="14"/>
        <v>Neha Kapoor</v>
      </c>
      <c r="R75" s="13">
        <f t="shared" si="13"/>
        <v>46054</v>
      </c>
    </row>
    <row r="76" spans="1:18" ht="28.8">
      <c r="A76" s="2" t="s">
        <v>203</v>
      </c>
      <c r="B76" s="2" t="s">
        <v>204</v>
      </c>
      <c r="C76" s="2" t="s">
        <v>13</v>
      </c>
      <c r="D76" s="2" t="s">
        <v>120</v>
      </c>
      <c r="E76" s="2">
        <v>4</v>
      </c>
      <c r="F76" s="2">
        <v>21</v>
      </c>
      <c r="G76" s="2">
        <v>19</v>
      </c>
      <c r="H76" s="2">
        <v>162</v>
      </c>
      <c r="I76" s="2">
        <v>68</v>
      </c>
      <c r="J76" s="2">
        <v>10</v>
      </c>
      <c r="K76" s="3" t="s">
        <v>40</v>
      </c>
      <c r="L76" s="6">
        <f t="shared" si="7"/>
        <v>0.41975308641975306</v>
      </c>
      <c r="M76" s="6">
        <f t="shared" si="8"/>
        <v>0.90476190476190477</v>
      </c>
      <c r="N76" t="str">
        <f t="shared" si="9"/>
        <v>Medium</v>
      </c>
      <c r="O76" t="str">
        <f t="shared" si="10"/>
        <v>Meets Expectations</v>
      </c>
      <c r="P76" t="str">
        <f t="shared" si="11"/>
        <v>High Productivity</v>
      </c>
      <c r="Q76" t="str">
        <f t="shared" si="14"/>
        <v>Neha Kapoor</v>
      </c>
      <c r="R76" s="13">
        <f t="shared" si="13"/>
        <v>46082</v>
      </c>
    </row>
    <row r="77" spans="1:18" ht="28.8">
      <c r="A77" s="2" t="s">
        <v>205</v>
      </c>
      <c r="B77" s="2" t="s">
        <v>206</v>
      </c>
      <c r="C77" s="2" t="s">
        <v>13</v>
      </c>
      <c r="D77" s="2" t="s">
        <v>14</v>
      </c>
      <c r="E77" s="2">
        <v>2</v>
      </c>
      <c r="F77" s="2">
        <v>16</v>
      </c>
      <c r="G77" s="2">
        <v>10</v>
      </c>
      <c r="H77" s="2">
        <v>166</v>
      </c>
      <c r="I77" s="2">
        <v>81</v>
      </c>
      <c r="J77" s="2">
        <v>14</v>
      </c>
      <c r="K77" s="3" t="s">
        <v>194</v>
      </c>
      <c r="L77" s="6">
        <f t="shared" si="7"/>
        <v>0.48795180722891568</v>
      </c>
      <c r="M77" s="6">
        <f t="shared" si="8"/>
        <v>0.625</v>
      </c>
      <c r="N77" t="str">
        <f t="shared" si="9"/>
        <v>Medium</v>
      </c>
      <c r="O77" t="str">
        <f t="shared" si="10"/>
        <v>Needs Improvement</v>
      </c>
      <c r="P77" t="str">
        <f t="shared" si="11"/>
        <v>Medium Productivity</v>
      </c>
      <c r="Q77" t="str">
        <f t="shared" si="14"/>
        <v>Neha Kapoor</v>
      </c>
      <c r="R77" s="13">
        <f t="shared" si="13"/>
        <v>46113</v>
      </c>
    </row>
    <row r="78" spans="1:18">
      <c r="A78" s="2" t="s">
        <v>207</v>
      </c>
      <c r="B78" s="2" t="s">
        <v>208</v>
      </c>
      <c r="C78" s="2" t="s">
        <v>27</v>
      </c>
      <c r="D78" s="2" t="s">
        <v>28</v>
      </c>
      <c r="E78" s="2">
        <v>4</v>
      </c>
      <c r="F78" s="2">
        <v>12</v>
      </c>
      <c r="G78" s="2">
        <v>11</v>
      </c>
      <c r="H78" s="2">
        <v>206</v>
      </c>
      <c r="I78" s="2">
        <v>153</v>
      </c>
      <c r="J78" s="2">
        <v>12</v>
      </c>
      <c r="K78" s="3" t="s">
        <v>24</v>
      </c>
      <c r="L78" s="6">
        <f t="shared" si="7"/>
        <v>0.74271844660194175</v>
      </c>
      <c r="M78" s="6">
        <f t="shared" si="8"/>
        <v>0.91666666666666663</v>
      </c>
      <c r="N78" t="str">
        <f t="shared" si="9"/>
        <v>Medium</v>
      </c>
      <c r="O78" t="str">
        <f t="shared" si="10"/>
        <v>Meets Expectations</v>
      </c>
      <c r="P78" t="str">
        <f t="shared" si="11"/>
        <v>High Productivity</v>
      </c>
      <c r="Q78" t="str">
        <f t="shared" si="14"/>
        <v>Vikram Rao</v>
      </c>
      <c r="R78" s="13">
        <f t="shared" si="13"/>
        <v>46143</v>
      </c>
    </row>
    <row r="79" spans="1:18">
      <c r="A79" s="2" t="s">
        <v>209</v>
      </c>
      <c r="B79" s="2" t="s">
        <v>210</v>
      </c>
      <c r="C79" s="2" t="s">
        <v>52</v>
      </c>
      <c r="D79" s="2" t="s">
        <v>53</v>
      </c>
      <c r="E79" s="2">
        <v>3</v>
      </c>
      <c r="F79" s="2">
        <v>21</v>
      </c>
      <c r="G79" s="2">
        <v>16</v>
      </c>
      <c r="H79" s="2">
        <v>156</v>
      </c>
      <c r="I79" s="2">
        <v>123</v>
      </c>
      <c r="J79" s="2">
        <v>17</v>
      </c>
      <c r="K79" s="3" t="s">
        <v>84</v>
      </c>
      <c r="L79" s="6">
        <f t="shared" si="7"/>
        <v>0.78846153846153844</v>
      </c>
      <c r="M79" s="6">
        <f t="shared" si="8"/>
        <v>0.76190476190476186</v>
      </c>
      <c r="N79" t="str">
        <f t="shared" si="9"/>
        <v>Medium</v>
      </c>
      <c r="O79" t="str">
        <f t="shared" si="10"/>
        <v>Meets Expectations</v>
      </c>
      <c r="P79" t="str">
        <f t="shared" si="11"/>
        <v>Medium Productivity</v>
      </c>
      <c r="Q79" t="str">
        <f t="shared" si="14"/>
        <v>Rohan Verma</v>
      </c>
      <c r="R79" s="13">
        <f t="shared" si="13"/>
        <v>46174</v>
      </c>
    </row>
    <row r="80" spans="1:18">
      <c r="A80" s="2" t="s">
        <v>211</v>
      </c>
      <c r="B80" s="2" t="s">
        <v>212</v>
      </c>
      <c r="C80" s="2" t="s">
        <v>27</v>
      </c>
      <c r="D80" s="2" t="s">
        <v>128</v>
      </c>
      <c r="E80" s="2">
        <v>4</v>
      </c>
      <c r="F80" s="2">
        <v>10</v>
      </c>
      <c r="G80" s="2">
        <v>9</v>
      </c>
      <c r="H80" s="2">
        <v>145</v>
      </c>
      <c r="I80" s="2">
        <v>99</v>
      </c>
      <c r="J80" s="2">
        <v>10</v>
      </c>
      <c r="K80" s="3" t="s">
        <v>24</v>
      </c>
      <c r="L80" s="6">
        <f t="shared" si="7"/>
        <v>0.6827586206896552</v>
      </c>
      <c r="M80" s="6">
        <f t="shared" si="8"/>
        <v>0.9</v>
      </c>
      <c r="N80" t="str">
        <f t="shared" si="9"/>
        <v>Medium</v>
      </c>
      <c r="O80" t="str">
        <f t="shared" si="10"/>
        <v>Meets Expectations</v>
      </c>
      <c r="P80" t="str">
        <f t="shared" si="11"/>
        <v>High Productivity</v>
      </c>
      <c r="Q80" t="str">
        <f t="shared" si="14"/>
        <v>Vikram Rao</v>
      </c>
      <c r="R80" s="13">
        <f t="shared" si="13"/>
        <v>46204</v>
      </c>
    </row>
    <row r="81" spans="1:18" ht="28.8">
      <c r="A81" s="2" t="s">
        <v>213</v>
      </c>
      <c r="B81" s="2" t="s">
        <v>214</v>
      </c>
      <c r="C81" s="2" t="s">
        <v>18</v>
      </c>
      <c r="D81" s="2" t="s">
        <v>23</v>
      </c>
      <c r="E81" s="2">
        <v>3</v>
      </c>
      <c r="F81" s="2">
        <v>17</v>
      </c>
      <c r="G81" s="2">
        <v>15</v>
      </c>
      <c r="H81" s="2">
        <v>183</v>
      </c>
      <c r="I81" s="2">
        <v>128</v>
      </c>
      <c r="J81" s="2">
        <v>17</v>
      </c>
      <c r="K81" s="3" t="s">
        <v>37</v>
      </c>
      <c r="L81" s="6">
        <f t="shared" si="7"/>
        <v>0.69945355191256831</v>
      </c>
      <c r="M81" s="6">
        <f t="shared" si="8"/>
        <v>0.88235294117647056</v>
      </c>
      <c r="N81" t="str">
        <f t="shared" si="9"/>
        <v>Medium</v>
      </c>
      <c r="O81" t="str">
        <f t="shared" si="10"/>
        <v>Meets Expectations</v>
      </c>
      <c r="P81" t="str">
        <f t="shared" si="11"/>
        <v>Medium Productivity</v>
      </c>
      <c r="Q81" t="str">
        <f t="shared" si="14"/>
        <v>Karthik Menon</v>
      </c>
      <c r="R81" s="13">
        <f t="shared" si="13"/>
        <v>46235</v>
      </c>
    </row>
    <row r="82" spans="1:18">
      <c r="A82" s="2" t="s">
        <v>215</v>
      </c>
      <c r="B82" s="2" t="s">
        <v>216</v>
      </c>
      <c r="C82" s="2" t="s">
        <v>59</v>
      </c>
      <c r="D82" s="2" t="s">
        <v>101</v>
      </c>
      <c r="E82" s="2">
        <v>4</v>
      </c>
      <c r="F82" s="2">
        <v>13</v>
      </c>
      <c r="G82" s="2">
        <v>13</v>
      </c>
      <c r="H82" s="2">
        <v>164</v>
      </c>
      <c r="I82" s="2">
        <v>93</v>
      </c>
      <c r="J82" s="2">
        <v>11</v>
      </c>
      <c r="K82" s="3" t="s">
        <v>34</v>
      </c>
      <c r="L82" s="6">
        <f t="shared" si="7"/>
        <v>0.56707317073170727</v>
      </c>
      <c r="M82" s="6">
        <f t="shared" si="8"/>
        <v>1</v>
      </c>
      <c r="N82" t="str">
        <f t="shared" si="9"/>
        <v>Medium</v>
      </c>
      <c r="O82" t="str">
        <f t="shared" si="10"/>
        <v>Meets Expectations</v>
      </c>
      <c r="P82" t="str">
        <f t="shared" si="11"/>
        <v>High Productivity</v>
      </c>
      <c r="Q82" t="str">
        <f t="shared" si="14"/>
        <v>Rahul Sharma</v>
      </c>
      <c r="R82" s="13">
        <f t="shared" si="13"/>
        <v>46266</v>
      </c>
    </row>
    <row r="83" spans="1:18">
      <c r="A83" s="2" t="s">
        <v>217</v>
      </c>
      <c r="B83" s="2" t="s">
        <v>218</v>
      </c>
      <c r="C83" s="2" t="s">
        <v>52</v>
      </c>
      <c r="D83" s="2" t="s">
        <v>173</v>
      </c>
      <c r="E83" s="2">
        <v>4</v>
      </c>
      <c r="F83" s="2">
        <v>22</v>
      </c>
      <c r="G83" s="2">
        <v>20</v>
      </c>
      <c r="H83" s="2">
        <v>182</v>
      </c>
      <c r="I83" s="2">
        <v>105</v>
      </c>
      <c r="J83" s="2">
        <v>14</v>
      </c>
      <c r="K83" s="3" t="s">
        <v>34</v>
      </c>
      <c r="L83" s="6">
        <f t="shared" si="7"/>
        <v>0.57692307692307687</v>
      </c>
      <c r="M83" s="6">
        <f t="shared" si="8"/>
        <v>0.90909090909090906</v>
      </c>
      <c r="N83" t="str">
        <f t="shared" si="9"/>
        <v>Medium</v>
      </c>
      <c r="O83" t="str">
        <f t="shared" si="10"/>
        <v>Meets Expectations</v>
      </c>
      <c r="P83" t="str">
        <f t="shared" si="11"/>
        <v>High Productivity</v>
      </c>
      <c r="Q83" t="str">
        <f t="shared" si="14"/>
        <v>Rohan Verma</v>
      </c>
      <c r="R83" s="13">
        <f t="shared" si="13"/>
        <v>46296</v>
      </c>
    </row>
    <row r="84" spans="1:18">
      <c r="A84" s="2" t="s">
        <v>219</v>
      </c>
      <c r="B84" s="2" t="s">
        <v>220</v>
      </c>
      <c r="C84" s="2" t="s">
        <v>27</v>
      </c>
      <c r="D84" s="2" t="s">
        <v>104</v>
      </c>
      <c r="E84" s="2">
        <v>3</v>
      </c>
      <c r="F84" s="2">
        <v>11</v>
      </c>
      <c r="G84" s="2">
        <v>10</v>
      </c>
      <c r="H84" s="2">
        <v>167</v>
      </c>
      <c r="I84" s="2">
        <v>114</v>
      </c>
      <c r="J84" s="2">
        <v>5</v>
      </c>
      <c r="K84" s="3" t="s">
        <v>45</v>
      </c>
      <c r="L84" s="6">
        <f t="shared" si="7"/>
        <v>0.68263473053892221</v>
      </c>
      <c r="M84" s="6">
        <f t="shared" si="8"/>
        <v>0.90909090909090906</v>
      </c>
      <c r="N84" t="str">
        <f t="shared" si="9"/>
        <v>Low</v>
      </c>
      <c r="O84" t="str">
        <f t="shared" si="10"/>
        <v>Meets Expectations</v>
      </c>
      <c r="P84" t="str">
        <f t="shared" si="11"/>
        <v>High Productivity</v>
      </c>
      <c r="Q84" t="str">
        <f t="shared" si="14"/>
        <v>Vikram Rao</v>
      </c>
      <c r="R84" s="13">
        <f t="shared" si="13"/>
        <v>46327</v>
      </c>
    </row>
    <row r="85" spans="1:18">
      <c r="A85" s="2" t="s">
        <v>221</v>
      </c>
      <c r="B85" s="2" t="s">
        <v>222</v>
      </c>
      <c r="C85" s="2" t="s">
        <v>43</v>
      </c>
      <c r="D85" s="2" t="s">
        <v>44</v>
      </c>
      <c r="E85" s="2">
        <v>3</v>
      </c>
      <c r="F85" s="2">
        <v>17</v>
      </c>
      <c r="G85" s="2">
        <v>11</v>
      </c>
      <c r="H85" s="2">
        <v>161</v>
      </c>
      <c r="I85" s="2">
        <v>95</v>
      </c>
      <c r="J85" s="2">
        <v>10</v>
      </c>
      <c r="K85" s="3" t="s">
        <v>84</v>
      </c>
      <c r="L85" s="6">
        <f t="shared" si="7"/>
        <v>0.59006211180124224</v>
      </c>
      <c r="M85" s="6">
        <f t="shared" si="8"/>
        <v>0.6470588235294118</v>
      </c>
      <c r="N85" t="str">
        <f t="shared" si="9"/>
        <v>Medium</v>
      </c>
      <c r="O85" t="str">
        <f t="shared" si="10"/>
        <v>Meets Expectations</v>
      </c>
      <c r="P85" t="str">
        <f t="shared" si="11"/>
        <v>Medium Productivity</v>
      </c>
      <c r="Q85" t="str">
        <f t="shared" si="14"/>
        <v>Arjun Mehta</v>
      </c>
      <c r="R85" s="13">
        <f t="shared" si="13"/>
        <v>46357</v>
      </c>
    </row>
    <row r="86" spans="1:18" ht="28.8">
      <c r="A86" s="2" t="s">
        <v>223</v>
      </c>
      <c r="B86" s="2" t="s">
        <v>224</v>
      </c>
      <c r="C86" s="2" t="s">
        <v>59</v>
      </c>
      <c r="D86" s="2" t="s">
        <v>101</v>
      </c>
      <c r="E86" s="2">
        <v>4</v>
      </c>
      <c r="F86" s="2">
        <v>13</v>
      </c>
      <c r="G86" s="2">
        <v>13</v>
      </c>
      <c r="H86" s="2">
        <v>185</v>
      </c>
      <c r="I86" s="2">
        <v>85</v>
      </c>
      <c r="J86" s="2">
        <v>11</v>
      </c>
      <c r="K86" s="3" t="s">
        <v>40</v>
      </c>
      <c r="L86" s="6">
        <f t="shared" si="7"/>
        <v>0.45945945945945948</v>
      </c>
      <c r="M86" s="6">
        <f t="shared" si="8"/>
        <v>1</v>
      </c>
      <c r="N86" t="str">
        <f t="shared" si="9"/>
        <v>Medium</v>
      </c>
      <c r="O86" t="str">
        <f t="shared" si="10"/>
        <v>Meets Expectations</v>
      </c>
      <c r="P86" t="str">
        <f t="shared" si="11"/>
        <v>High Productivity</v>
      </c>
      <c r="Q86" t="str">
        <f>IF(C86="Sales","Arjun Mehta",IF(C86="Marketing","Priya Nair",IF(C86="Finance","Rahul Sharma",IF(C86="HR","Ananya Iyer",IF(C86="Operations","Vikram Rao",IF(C86="IT","Karthik Menon",IF(C86="Product","Neha Kapoor","Rohan Verma")))))))</f>
        <v>Rahul Sharma</v>
      </c>
      <c r="R86" s="13">
        <f t="shared" si="13"/>
        <v>46023</v>
      </c>
    </row>
    <row r="87" spans="1:18">
      <c r="A87" s="2" t="s">
        <v>225</v>
      </c>
      <c r="B87" s="2" t="s">
        <v>226</v>
      </c>
      <c r="C87" s="2" t="s">
        <v>27</v>
      </c>
      <c r="D87" s="2" t="s">
        <v>104</v>
      </c>
      <c r="E87" s="2">
        <v>4</v>
      </c>
      <c r="F87" s="2">
        <v>19</v>
      </c>
      <c r="G87" s="2">
        <v>17</v>
      </c>
      <c r="H87" s="2">
        <v>184</v>
      </c>
      <c r="I87" s="2">
        <v>139</v>
      </c>
      <c r="J87" s="2">
        <v>13</v>
      </c>
      <c r="K87" s="3" t="s">
        <v>24</v>
      </c>
      <c r="L87" s="6">
        <f t="shared" si="7"/>
        <v>0.75543478260869568</v>
      </c>
      <c r="M87" s="6">
        <f t="shared" si="8"/>
        <v>0.89473684210526316</v>
      </c>
      <c r="N87" t="str">
        <f t="shared" si="9"/>
        <v>Medium</v>
      </c>
      <c r="O87" t="str">
        <f t="shared" si="10"/>
        <v>Meets Expectations</v>
      </c>
      <c r="P87" t="str">
        <f t="shared" si="11"/>
        <v>Medium Productivity</v>
      </c>
      <c r="Q87" t="str">
        <f t="shared" si="14"/>
        <v>Vikram Rao</v>
      </c>
      <c r="R87" s="13">
        <f t="shared" si="13"/>
        <v>46054</v>
      </c>
    </row>
    <row r="88" spans="1:18" ht="28.8">
      <c r="A88" s="2" t="s">
        <v>227</v>
      </c>
      <c r="B88" s="2" t="s">
        <v>228</v>
      </c>
      <c r="C88" s="2" t="s">
        <v>52</v>
      </c>
      <c r="D88" s="2" t="s">
        <v>173</v>
      </c>
      <c r="E88" s="2">
        <v>5</v>
      </c>
      <c r="F88" s="2">
        <v>17</v>
      </c>
      <c r="G88" s="2">
        <v>14</v>
      </c>
      <c r="H88" s="2">
        <v>197</v>
      </c>
      <c r="I88" s="2">
        <v>112</v>
      </c>
      <c r="J88" s="2">
        <v>13</v>
      </c>
      <c r="K88" s="3" t="s">
        <v>20</v>
      </c>
      <c r="L88" s="6">
        <f t="shared" si="7"/>
        <v>0.56852791878172593</v>
      </c>
      <c r="M88" s="6">
        <f t="shared" si="8"/>
        <v>0.82352941176470584</v>
      </c>
      <c r="N88" t="str">
        <f t="shared" si="9"/>
        <v>Medium</v>
      </c>
      <c r="O88" t="str">
        <f t="shared" si="10"/>
        <v>Meets Expectations</v>
      </c>
      <c r="P88" t="str">
        <f t="shared" si="11"/>
        <v>Medium Productivity</v>
      </c>
      <c r="Q88" t="str">
        <f t="shared" si="14"/>
        <v>Rohan Verma</v>
      </c>
      <c r="R88" s="13">
        <f t="shared" si="13"/>
        <v>46082</v>
      </c>
    </row>
    <row r="89" spans="1:18">
      <c r="A89" s="2" t="s">
        <v>229</v>
      </c>
      <c r="B89" s="2" t="s">
        <v>230</v>
      </c>
      <c r="C89" s="2" t="s">
        <v>13</v>
      </c>
      <c r="D89" s="2" t="s">
        <v>120</v>
      </c>
      <c r="E89" s="2">
        <v>3</v>
      </c>
      <c r="F89" s="2">
        <v>17</v>
      </c>
      <c r="G89" s="2">
        <v>15</v>
      </c>
      <c r="H89" s="2">
        <v>154</v>
      </c>
      <c r="I89" s="2">
        <v>61</v>
      </c>
      <c r="J89" s="2">
        <v>6</v>
      </c>
      <c r="K89" s="3" t="s">
        <v>84</v>
      </c>
      <c r="L89" s="6">
        <f t="shared" si="7"/>
        <v>0.39610389610389612</v>
      </c>
      <c r="M89" s="6">
        <f t="shared" si="8"/>
        <v>0.88235294117647056</v>
      </c>
      <c r="N89" t="str">
        <f t="shared" si="9"/>
        <v>Low</v>
      </c>
      <c r="O89" t="str">
        <f t="shared" si="10"/>
        <v>Meets Expectations</v>
      </c>
      <c r="P89" t="str">
        <f t="shared" si="11"/>
        <v>Medium Productivity</v>
      </c>
      <c r="Q89" t="str">
        <f t="shared" si="14"/>
        <v>Neha Kapoor</v>
      </c>
      <c r="R89" s="13">
        <f t="shared" si="13"/>
        <v>46113</v>
      </c>
    </row>
    <row r="90" spans="1:18" ht="28.8">
      <c r="A90" s="2" t="s">
        <v>231</v>
      </c>
      <c r="B90" s="2" t="s">
        <v>232</v>
      </c>
      <c r="C90" s="2" t="s">
        <v>52</v>
      </c>
      <c r="D90" s="2" t="s">
        <v>173</v>
      </c>
      <c r="E90" s="2">
        <v>2</v>
      </c>
      <c r="F90" s="2">
        <v>26</v>
      </c>
      <c r="G90" s="2">
        <v>18</v>
      </c>
      <c r="H90" s="2">
        <v>190</v>
      </c>
      <c r="I90" s="2">
        <v>144</v>
      </c>
      <c r="J90" s="2">
        <v>22</v>
      </c>
      <c r="K90" s="3" t="s">
        <v>194</v>
      </c>
      <c r="L90" s="6">
        <f t="shared" si="7"/>
        <v>0.75789473684210529</v>
      </c>
      <c r="M90" s="6">
        <f t="shared" si="8"/>
        <v>0.69230769230769229</v>
      </c>
      <c r="N90" t="str">
        <f t="shared" si="9"/>
        <v>High</v>
      </c>
      <c r="O90" t="str">
        <f t="shared" si="10"/>
        <v>Needs Improvement</v>
      </c>
      <c r="P90" t="str">
        <f t="shared" si="11"/>
        <v>Medium Productivity</v>
      </c>
      <c r="Q90" t="str">
        <f t="shared" si="14"/>
        <v>Rohan Verma</v>
      </c>
      <c r="R90" s="13">
        <f t="shared" si="13"/>
        <v>46143</v>
      </c>
    </row>
    <row r="91" spans="1:18">
      <c r="A91" s="2" t="s">
        <v>233</v>
      </c>
      <c r="B91" s="2" t="s">
        <v>234</v>
      </c>
      <c r="C91" s="2" t="s">
        <v>18</v>
      </c>
      <c r="D91" s="2" t="s">
        <v>19</v>
      </c>
      <c r="E91" s="2">
        <v>3</v>
      </c>
      <c r="F91" s="2">
        <v>14</v>
      </c>
      <c r="G91" s="2">
        <v>11</v>
      </c>
      <c r="H91" s="2">
        <v>181</v>
      </c>
      <c r="I91" s="2">
        <v>132</v>
      </c>
      <c r="J91" s="2">
        <v>6</v>
      </c>
      <c r="K91" s="3" t="s">
        <v>45</v>
      </c>
      <c r="L91" s="6">
        <f t="shared" si="7"/>
        <v>0.72928176795580113</v>
      </c>
      <c r="M91" s="6">
        <f t="shared" si="8"/>
        <v>0.7857142857142857</v>
      </c>
      <c r="N91" t="str">
        <f t="shared" si="9"/>
        <v>Low</v>
      </c>
      <c r="O91" t="str">
        <f t="shared" si="10"/>
        <v>Meets Expectations</v>
      </c>
      <c r="P91" t="str">
        <f t="shared" si="11"/>
        <v>Medium Productivity</v>
      </c>
      <c r="Q91" t="str">
        <f t="shared" si="14"/>
        <v>Karthik Menon</v>
      </c>
      <c r="R91" s="13">
        <f t="shared" si="13"/>
        <v>46174</v>
      </c>
    </row>
    <row r="92" spans="1:18">
      <c r="A92" s="2" t="s">
        <v>235</v>
      </c>
      <c r="B92" s="2" t="s">
        <v>236</v>
      </c>
      <c r="C92" s="2" t="s">
        <v>59</v>
      </c>
      <c r="D92" s="2" t="s">
        <v>72</v>
      </c>
      <c r="E92" s="2">
        <v>3</v>
      </c>
      <c r="F92" s="2">
        <v>13</v>
      </c>
      <c r="G92" s="2">
        <v>8</v>
      </c>
      <c r="H92" s="2">
        <v>185</v>
      </c>
      <c r="I92" s="2">
        <v>111</v>
      </c>
      <c r="J92" s="2">
        <v>6</v>
      </c>
      <c r="K92" s="3" t="s">
        <v>84</v>
      </c>
      <c r="L92" s="6">
        <f t="shared" si="7"/>
        <v>0.6</v>
      </c>
      <c r="M92" s="6">
        <f t="shared" si="8"/>
        <v>0.61538461538461542</v>
      </c>
      <c r="N92" t="str">
        <f t="shared" si="9"/>
        <v>Low</v>
      </c>
      <c r="O92" t="str">
        <f t="shared" si="10"/>
        <v>Meets Expectations</v>
      </c>
      <c r="P92" t="str">
        <f t="shared" si="11"/>
        <v>Medium Productivity</v>
      </c>
      <c r="Q92" t="str">
        <f>IF(C92="Sales","Arjun Mehta",IF(C92="Marketing","Priya Nair",IF(C92="Finance","Rahul Sharma",IF(C92="HR","Ananya Iyer",IF(C92="Operations","Vikram Rao",IF(C92="IT","Karthik Menon",IF(C92="Product","Neha Kapoor","Rohan Verma")))))))</f>
        <v>Rahul Sharma</v>
      </c>
      <c r="R92" s="13">
        <f t="shared" si="13"/>
        <v>46204</v>
      </c>
    </row>
    <row r="93" spans="1:18" ht="28.8">
      <c r="A93" s="2" t="s">
        <v>237</v>
      </c>
      <c r="B93" s="2" t="s">
        <v>238</v>
      </c>
      <c r="C93" s="2" t="s">
        <v>27</v>
      </c>
      <c r="D93" s="2" t="s">
        <v>28</v>
      </c>
      <c r="E93" s="2">
        <v>3</v>
      </c>
      <c r="F93" s="2">
        <v>13</v>
      </c>
      <c r="G93" s="2">
        <v>12</v>
      </c>
      <c r="H93" s="2">
        <v>189</v>
      </c>
      <c r="I93" s="2">
        <v>138</v>
      </c>
      <c r="J93" s="2">
        <v>14</v>
      </c>
      <c r="K93" s="3" t="s">
        <v>37</v>
      </c>
      <c r="L93" s="6">
        <f t="shared" si="7"/>
        <v>0.73015873015873012</v>
      </c>
      <c r="M93" s="6">
        <f t="shared" si="8"/>
        <v>0.92307692307692313</v>
      </c>
      <c r="N93" t="str">
        <f t="shared" si="9"/>
        <v>Medium</v>
      </c>
      <c r="O93" t="str">
        <f t="shared" si="10"/>
        <v>Meets Expectations</v>
      </c>
      <c r="P93" t="str">
        <f t="shared" si="11"/>
        <v>High Productivity</v>
      </c>
      <c r="Q93" t="str">
        <f t="shared" ref="Q93:Q106" si="15">IF(C93="Sales","Arjun Mehta",IF(C93="Marketing","Priya Nair",IF(C93="Finance","Rahul Sharma",IF(C93="HR","Ananya Iyer",IF(C93="Operations","Vikram Rao",IF(C93="IT","Karthik Menon",IF(C93="Product","Neha Kapoor","Rohan Verma")))))))</f>
        <v>Vikram Rao</v>
      </c>
      <c r="R93" s="13">
        <f t="shared" si="13"/>
        <v>46235</v>
      </c>
    </row>
    <row r="94" spans="1:18" ht="28.8">
      <c r="A94" s="2" t="s">
        <v>239</v>
      </c>
      <c r="B94" s="2" t="s">
        <v>240</v>
      </c>
      <c r="C94" s="2" t="s">
        <v>59</v>
      </c>
      <c r="D94" s="2" t="s">
        <v>60</v>
      </c>
      <c r="E94" s="2">
        <v>3</v>
      </c>
      <c r="F94" s="2">
        <v>18</v>
      </c>
      <c r="G94" s="2">
        <v>15</v>
      </c>
      <c r="H94" s="2">
        <v>180</v>
      </c>
      <c r="I94" s="2">
        <v>69</v>
      </c>
      <c r="J94" s="2">
        <v>4</v>
      </c>
      <c r="K94" s="3" t="s">
        <v>37</v>
      </c>
      <c r="L94" s="6">
        <f t="shared" si="7"/>
        <v>0.38333333333333336</v>
      </c>
      <c r="M94" s="6">
        <f t="shared" si="8"/>
        <v>0.83333333333333337</v>
      </c>
      <c r="N94" t="str">
        <f t="shared" si="9"/>
        <v>Low</v>
      </c>
      <c r="O94" t="str">
        <f t="shared" si="10"/>
        <v>Meets Expectations</v>
      </c>
      <c r="P94" t="str">
        <f t="shared" si="11"/>
        <v>Medium Productivity</v>
      </c>
      <c r="Q94" t="str">
        <f t="shared" si="15"/>
        <v>Rahul Sharma</v>
      </c>
      <c r="R94" s="13">
        <f t="shared" si="13"/>
        <v>46266</v>
      </c>
    </row>
    <row r="95" spans="1:18" ht="28.8">
      <c r="A95" s="2" t="s">
        <v>241</v>
      </c>
      <c r="B95" s="2" t="s">
        <v>242</v>
      </c>
      <c r="C95" s="2" t="s">
        <v>18</v>
      </c>
      <c r="D95" s="2" t="s">
        <v>243</v>
      </c>
      <c r="E95" s="2">
        <v>2</v>
      </c>
      <c r="F95" s="2">
        <v>22</v>
      </c>
      <c r="G95" s="2">
        <v>17</v>
      </c>
      <c r="H95" s="2">
        <v>162</v>
      </c>
      <c r="I95" s="2">
        <v>98</v>
      </c>
      <c r="J95" s="2">
        <v>16</v>
      </c>
      <c r="K95" s="3" t="s">
        <v>194</v>
      </c>
      <c r="L95" s="6">
        <f t="shared" si="7"/>
        <v>0.60493827160493829</v>
      </c>
      <c r="M95" s="6">
        <f t="shared" si="8"/>
        <v>0.77272727272727271</v>
      </c>
      <c r="N95" t="str">
        <f t="shared" si="9"/>
        <v>Medium</v>
      </c>
      <c r="O95" t="str">
        <f t="shared" si="10"/>
        <v>Needs Improvement</v>
      </c>
      <c r="P95" t="str">
        <f t="shared" si="11"/>
        <v>Medium Productivity</v>
      </c>
      <c r="Q95" t="str">
        <f t="shared" si="15"/>
        <v>Karthik Menon</v>
      </c>
      <c r="R95" s="13">
        <f t="shared" si="13"/>
        <v>46296</v>
      </c>
    </row>
    <row r="96" spans="1:18">
      <c r="A96" s="2" t="s">
        <v>244</v>
      </c>
      <c r="B96" s="2" t="s">
        <v>245</v>
      </c>
      <c r="C96" s="2" t="s">
        <v>52</v>
      </c>
      <c r="D96" s="2" t="s">
        <v>53</v>
      </c>
      <c r="E96" s="2">
        <v>4</v>
      </c>
      <c r="F96" s="2">
        <v>21</v>
      </c>
      <c r="G96" s="2">
        <v>18</v>
      </c>
      <c r="H96" s="2">
        <v>194</v>
      </c>
      <c r="I96" s="2">
        <v>129</v>
      </c>
      <c r="J96" s="2">
        <v>8</v>
      </c>
      <c r="K96" s="3" t="s">
        <v>34</v>
      </c>
      <c r="L96" s="6">
        <f t="shared" si="7"/>
        <v>0.66494845360824739</v>
      </c>
      <c r="M96" s="6">
        <f t="shared" si="8"/>
        <v>0.8571428571428571</v>
      </c>
      <c r="N96" t="str">
        <f t="shared" si="9"/>
        <v>Low</v>
      </c>
      <c r="O96" t="str">
        <f t="shared" si="10"/>
        <v>Meets Expectations</v>
      </c>
      <c r="P96" t="str">
        <f t="shared" si="11"/>
        <v>Medium Productivity</v>
      </c>
      <c r="Q96" t="str">
        <f t="shared" si="15"/>
        <v>Rohan Verma</v>
      </c>
      <c r="R96" s="13">
        <f t="shared" si="13"/>
        <v>46327</v>
      </c>
    </row>
    <row r="97" spans="1:18">
      <c r="A97" s="2" t="s">
        <v>246</v>
      </c>
      <c r="B97" s="2" t="s">
        <v>247</v>
      </c>
      <c r="C97" s="2" t="s">
        <v>13</v>
      </c>
      <c r="D97" s="2" t="s">
        <v>14</v>
      </c>
      <c r="E97" s="2">
        <v>3</v>
      </c>
      <c r="F97" s="2">
        <v>15</v>
      </c>
      <c r="G97" s="2">
        <v>16</v>
      </c>
      <c r="H97" s="2">
        <v>183</v>
      </c>
      <c r="I97" s="2">
        <v>92</v>
      </c>
      <c r="J97" s="2">
        <v>9</v>
      </c>
      <c r="K97" s="3" t="s">
        <v>45</v>
      </c>
      <c r="L97" s="6">
        <f t="shared" si="7"/>
        <v>0.50273224043715847</v>
      </c>
      <c r="M97" s="6">
        <f t="shared" si="8"/>
        <v>1.0666666666666667</v>
      </c>
      <c r="N97" t="str">
        <f t="shared" si="9"/>
        <v>Low</v>
      </c>
      <c r="O97" t="str">
        <f t="shared" si="10"/>
        <v>Meets Expectations</v>
      </c>
      <c r="P97" t="str">
        <f t="shared" si="11"/>
        <v>High Productivity</v>
      </c>
      <c r="Q97" t="str">
        <f t="shared" si="15"/>
        <v>Neha Kapoor</v>
      </c>
      <c r="R97" s="13">
        <f t="shared" si="13"/>
        <v>46357</v>
      </c>
    </row>
    <row r="98" spans="1:18">
      <c r="A98" s="2" t="s">
        <v>248</v>
      </c>
      <c r="B98" s="2" t="s">
        <v>249</v>
      </c>
      <c r="C98" s="2" t="s">
        <v>48</v>
      </c>
      <c r="D98" s="2" t="s">
        <v>113</v>
      </c>
      <c r="E98" s="2">
        <v>1</v>
      </c>
      <c r="F98" s="2">
        <v>20</v>
      </c>
      <c r="G98" s="2">
        <v>11</v>
      </c>
      <c r="H98" s="2">
        <v>162</v>
      </c>
      <c r="I98" s="2">
        <v>60</v>
      </c>
      <c r="J98" s="2">
        <v>4</v>
      </c>
      <c r="K98" s="3" t="s">
        <v>250</v>
      </c>
      <c r="L98" s="6">
        <f t="shared" si="7"/>
        <v>0.37037037037037035</v>
      </c>
      <c r="M98" s="6">
        <f t="shared" si="8"/>
        <v>0.55000000000000004</v>
      </c>
      <c r="N98" t="str">
        <f t="shared" si="9"/>
        <v>Low</v>
      </c>
      <c r="O98" t="str">
        <f t="shared" si="10"/>
        <v>Needs Improvement</v>
      </c>
      <c r="P98" t="str">
        <f t="shared" si="11"/>
        <v>Low Productivity</v>
      </c>
      <c r="Q98" t="str">
        <f t="shared" si="15"/>
        <v>Priya Nair</v>
      </c>
      <c r="R98" s="13">
        <f t="shared" si="13"/>
        <v>46023</v>
      </c>
    </row>
    <row r="99" spans="1:18">
      <c r="A99" s="2" t="s">
        <v>251</v>
      </c>
      <c r="B99" s="2" t="s">
        <v>252</v>
      </c>
      <c r="C99" s="2" t="s">
        <v>43</v>
      </c>
      <c r="D99" s="2" t="s">
        <v>44</v>
      </c>
      <c r="E99" s="2">
        <v>1</v>
      </c>
      <c r="F99" s="2">
        <v>30</v>
      </c>
      <c r="G99" s="2">
        <v>18</v>
      </c>
      <c r="H99" s="2">
        <v>154</v>
      </c>
      <c r="I99" s="2">
        <v>102</v>
      </c>
      <c r="J99" s="2">
        <v>13</v>
      </c>
      <c r="K99" s="3" t="s">
        <v>250</v>
      </c>
      <c r="L99" s="6">
        <f t="shared" si="7"/>
        <v>0.66233766233766234</v>
      </c>
      <c r="M99" s="6">
        <f t="shared" si="8"/>
        <v>0.6</v>
      </c>
      <c r="N99" t="str">
        <f t="shared" si="9"/>
        <v>Medium</v>
      </c>
      <c r="O99" t="str">
        <f t="shared" si="10"/>
        <v>Needs Improvement</v>
      </c>
      <c r="P99" t="str">
        <f t="shared" si="11"/>
        <v>Medium Productivity</v>
      </c>
      <c r="Q99" t="str">
        <f t="shared" si="15"/>
        <v>Arjun Mehta</v>
      </c>
      <c r="R99" s="13">
        <f t="shared" si="13"/>
        <v>46054</v>
      </c>
    </row>
    <row r="100" spans="1:18">
      <c r="A100" s="2" t="s">
        <v>253</v>
      </c>
      <c r="B100" s="2" t="s">
        <v>254</v>
      </c>
      <c r="C100" s="2" t="s">
        <v>18</v>
      </c>
      <c r="D100" s="2" t="s">
        <v>23</v>
      </c>
      <c r="E100" s="2">
        <v>1</v>
      </c>
      <c r="F100" s="2">
        <v>14</v>
      </c>
      <c r="G100" s="2">
        <v>8</v>
      </c>
      <c r="H100" s="2">
        <v>176</v>
      </c>
      <c r="I100" s="2">
        <v>151</v>
      </c>
      <c r="J100" s="2">
        <v>9</v>
      </c>
      <c r="K100" s="3" t="s">
        <v>78</v>
      </c>
      <c r="L100" s="6">
        <f t="shared" si="7"/>
        <v>0.85795454545454541</v>
      </c>
      <c r="M100" s="6">
        <f t="shared" si="8"/>
        <v>0.5714285714285714</v>
      </c>
      <c r="N100" t="str">
        <f t="shared" si="9"/>
        <v>Low</v>
      </c>
      <c r="O100" t="str">
        <f t="shared" si="10"/>
        <v>Needs Improvement</v>
      </c>
      <c r="P100" t="str">
        <f t="shared" si="11"/>
        <v>Low Productivity</v>
      </c>
      <c r="Q100" t="str">
        <f t="shared" si="15"/>
        <v>Karthik Menon</v>
      </c>
      <c r="R100" s="13">
        <f t="shared" si="13"/>
        <v>46082</v>
      </c>
    </row>
    <row r="101" spans="1:18" ht="28.8">
      <c r="A101" s="2" t="s">
        <v>255</v>
      </c>
      <c r="B101" s="2" t="s">
        <v>256</v>
      </c>
      <c r="C101" s="2" t="s">
        <v>32</v>
      </c>
      <c r="D101" s="2" t="s">
        <v>33</v>
      </c>
      <c r="E101" s="2">
        <v>5</v>
      </c>
      <c r="F101" s="2">
        <v>8</v>
      </c>
      <c r="G101" s="2">
        <v>8</v>
      </c>
      <c r="H101" s="2">
        <v>160</v>
      </c>
      <c r="I101" s="2">
        <v>33</v>
      </c>
      <c r="J101" s="2">
        <v>2</v>
      </c>
      <c r="K101" s="3" t="s">
        <v>20</v>
      </c>
      <c r="L101" s="6">
        <f t="shared" si="7"/>
        <v>0.20624999999999999</v>
      </c>
      <c r="M101" s="6">
        <f t="shared" si="8"/>
        <v>1</v>
      </c>
      <c r="N101" t="str">
        <f t="shared" si="9"/>
        <v>Low</v>
      </c>
      <c r="O101" t="str">
        <f t="shared" si="10"/>
        <v>Meets Expectations</v>
      </c>
      <c r="P101" t="str">
        <f t="shared" si="11"/>
        <v>High Productivity</v>
      </c>
      <c r="Q101" t="str">
        <f t="shared" si="15"/>
        <v>Ananya Iyer</v>
      </c>
      <c r="R101" s="13">
        <f t="shared" si="13"/>
        <v>46113</v>
      </c>
    </row>
    <row r="102" spans="1:18">
      <c r="A102" s="2" t="s">
        <v>257</v>
      </c>
      <c r="B102" s="2" t="s">
        <v>258</v>
      </c>
      <c r="C102" s="2" t="s">
        <v>18</v>
      </c>
      <c r="D102" s="2" t="s">
        <v>23</v>
      </c>
      <c r="E102" s="2">
        <v>2</v>
      </c>
      <c r="F102" s="2">
        <v>22</v>
      </c>
      <c r="G102" s="2">
        <v>18</v>
      </c>
      <c r="H102" s="2">
        <v>170</v>
      </c>
      <c r="I102" s="2">
        <v>93</v>
      </c>
      <c r="J102" s="2">
        <v>18</v>
      </c>
      <c r="K102" s="3" t="s">
        <v>15</v>
      </c>
      <c r="L102" s="6">
        <f t="shared" si="7"/>
        <v>0.54705882352941182</v>
      </c>
      <c r="M102" s="6">
        <f t="shared" si="8"/>
        <v>0.81818181818181823</v>
      </c>
      <c r="N102" t="str">
        <f t="shared" si="9"/>
        <v>Medium</v>
      </c>
      <c r="O102" t="str">
        <f t="shared" si="10"/>
        <v>Needs Improvement</v>
      </c>
      <c r="P102" t="str">
        <f t="shared" si="11"/>
        <v>Medium Productivity</v>
      </c>
      <c r="Q102" t="str">
        <f t="shared" si="15"/>
        <v>Karthik Menon</v>
      </c>
      <c r="R102" s="13">
        <f t="shared" si="13"/>
        <v>46143</v>
      </c>
    </row>
    <row r="103" spans="1:18">
      <c r="A103" s="2" t="s">
        <v>259</v>
      </c>
      <c r="B103" s="2" t="s">
        <v>260</v>
      </c>
      <c r="C103" s="2" t="s">
        <v>13</v>
      </c>
      <c r="D103" s="2" t="s">
        <v>120</v>
      </c>
      <c r="E103" s="2">
        <v>3</v>
      </c>
      <c r="F103" s="2">
        <v>21</v>
      </c>
      <c r="G103" s="2">
        <v>16</v>
      </c>
      <c r="H103" s="2">
        <v>145</v>
      </c>
      <c r="I103" s="2">
        <v>75</v>
      </c>
      <c r="J103" s="2">
        <v>10</v>
      </c>
      <c r="K103" s="3" t="s">
        <v>45</v>
      </c>
      <c r="L103" s="6">
        <f t="shared" si="7"/>
        <v>0.51724137931034486</v>
      </c>
      <c r="M103" s="6">
        <f t="shared" si="8"/>
        <v>0.76190476190476186</v>
      </c>
      <c r="N103" t="str">
        <f t="shared" si="9"/>
        <v>Medium</v>
      </c>
      <c r="O103" t="str">
        <f t="shared" si="10"/>
        <v>Meets Expectations</v>
      </c>
      <c r="P103" t="str">
        <f t="shared" si="11"/>
        <v>Medium Productivity</v>
      </c>
      <c r="Q103" t="str">
        <f t="shared" si="15"/>
        <v>Neha Kapoor</v>
      </c>
      <c r="R103" s="13">
        <f t="shared" si="13"/>
        <v>46174</v>
      </c>
    </row>
    <row r="104" spans="1:18">
      <c r="A104" s="2" t="s">
        <v>261</v>
      </c>
      <c r="B104" s="2" t="s">
        <v>262</v>
      </c>
      <c r="C104" s="2" t="s">
        <v>13</v>
      </c>
      <c r="D104" s="2" t="s">
        <v>64</v>
      </c>
      <c r="E104" s="2">
        <v>4</v>
      </c>
      <c r="F104" s="2">
        <v>19</v>
      </c>
      <c r="G104" s="2">
        <v>19</v>
      </c>
      <c r="H104" s="2">
        <v>157</v>
      </c>
      <c r="I104" s="2">
        <v>81</v>
      </c>
      <c r="J104" s="2">
        <v>9</v>
      </c>
      <c r="K104" s="3" t="s">
        <v>34</v>
      </c>
      <c r="L104" s="6">
        <f t="shared" si="7"/>
        <v>0.51592356687898089</v>
      </c>
      <c r="M104" s="6">
        <f t="shared" si="8"/>
        <v>1</v>
      </c>
      <c r="N104" t="str">
        <f t="shared" si="9"/>
        <v>Low</v>
      </c>
      <c r="O104" t="str">
        <f t="shared" si="10"/>
        <v>Meets Expectations</v>
      </c>
      <c r="P104" t="str">
        <f t="shared" si="11"/>
        <v>High Productivity</v>
      </c>
      <c r="Q104" t="str">
        <f t="shared" si="15"/>
        <v>Neha Kapoor</v>
      </c>
      <c r="R104" s="13">
        <f t="shared" si="13"/>
        <v>46204</v>
      </c>
    </row>
    <row r="105" spans="1:18">
      <c r="A105" s="2" t="s">
        <v>263</v>
      </c>
      <c r="B105" s="2" t="s">
        <v>264</v>
      </c>
      <c r="C105" s="2" t="s">
        <v>13</v>
      </c>
      <c r="D105" s="2" t="s">
        <v>14</v>
      </c>
      <c r="E105" s="2">
        <v>3</v>
      </c>
      <c r="F105" s="2">
        <v>18</v>
      </c>
      <c r="G105" s="2">
        <v>14</v>
      </c>
      <c r="H105" s="2">
        <v>165</v>
      </c>
      <c r="I105" s="2">
        <v>92</v>
      </c>
      <c r="J105" s="2">
        <v>9</v>
      </c>
      <c r="K105" s="3" t="s">
        <v>84</v>
      </c>
      <c r="L105" s="6">
        <f t="shared" si="7"/>
        <v>0.55757575757575761</v>
      </c>
      <c r="M105" s="6">
        <f t="shared" si="8"/>
        <v>0.77777777777777779</v>
      </c>
      <c r="N105" t="str">
        <f t="shared" si="9"/>
        <v>Low</v>
      </c>
      <c r="O105" t="str">
        <f t="shared" si="10"/>
        <v>Meets Expectations</v>
      </c>
      <c r="P105" t="str">
        <f t="shared" si="11"/>
        <v>Medium Productivity</v>
      </c>
      <c r="Q105" t="str">
        <f t="shared" si="15"/>
        <v>Neha Kapoor</v>
      </c>
      <c r="R105" s="13">
        <f t="shared" si="13"/>
        <v>46235</v>
      </c>
    </row>
    <row r="106" spans="1:18">
      <c r="A106" s="2" t="s">
        <v>265</v>
      </c>
      <c r="B106" s="2" t="s">
        <v>266</v>
      </c>
      <c r="C106" s="2" t="s">
        <v>59</v>
      </c>
      <c r="D106" s="2" t="s">
        <v>101</v>
      </c>
      <c r="E106" s="2">
        <v>3</v>
      </c>
      <c r="F106" s="2">
        <v>15</v>
      </c>
      <c r="G106" s="2">
        <v>12</v>
      </c>
      <c r="H106" s="2">
        <v>170</v>
      </c>
      <c r="I106" s="2">
        <v>81</v>
      </c>
      <c r="J106" s="2">
        <v>11</v>
      </c>
      <c r="K106" s="3" t="s">
        <v>84</v>
      </c>
      <c r="L106" s="6">
        <f t="shared" si="7"/>
        <v>0.47647058823529409</v>
      </c>
      <c r="M106" s="6">
        <f t="shared" si="8"/>
        <v>0.8</v>
      </c>
      <c r="N106" t="str">
        <f t="shared" si="9"/>
        <v>Medium</v>
      </c>
      <c r="O106" t="str">
        <f t="shared" si="10"/>
        <v>Meets Expectations</v>
      </c>
      <c r="P106" t="str">
        <f t="shared" si="11"/>
        <v>Medium Productivity</v>
      </c>
      <c r="Q106" t="str">
        <f t="shared" si="15"/>
        <v>Rahul Sharma</v>
      </c>
      <c r="R106" s="13">
        <f t="shared" si="13"/>
        <v>46266</v>
      </c>
    </row>
    <row r="107" spans="1:18">
      <c r="A107" s="2" t="s">
        <v>267</v>
      </c>
      <c r="B107" s="2" t="s">
        <v>268</v>
      </c>
      <c r="C107" s="2" t="s">
        <v>52</v>
      </c>
      <c r="D107" s="2" t="s">
        <v>53</v>
      </c>
      <c r="E107" s="2">
        <v>2</v>
      </c>
      <c r="F107" s="2">
        <v>25</v>
      </c>
      <c r="G107" s="2">
        <v>19</v>
      </c>
      <c r="H107" s="2">
        <v>171</v>
      </c>
      <c r="I107" s="2">
        <v>127</v>
      </c>
      <c r="J107" s="2">
        <v>10</v>
      </c>
      <c r="K107" s="3" t="s">
        <v>29</v>
      </c>
      <c r="L107" s="6">
        <f t="shared" si="7"/>
        <v>0.74269005847953218</v>
      </c>
      <c r="M107" s="6">
        <f t="shared" si="8"/>
        <v>0.76</v>
      </c>
      <c r="N107" t="str">
        <f t="shared" si="9"/>
        <v>Medium</v>
      </c>
      <c r="O107" t="str">
        <f t="shared" si="10"/>
        <v>Needs Improvement</v>
      </c>
      <c r="P107" t="str">
        <f t="shared" si="11"/>
        <v>Medium Productivity</v>
      </c>
      <c r="Q107" t="str">
        <f>IF(C107="Sales","Arjun Mehta",IF(C107="Marketing","Priya Nair",IF(C107="Finance","Rahul Sharma",IF(C107="HR","Ananya Iyer",IF(C107="Operations","Vikram Rao",IF(C107="IT","Karthik Menon",IF(C107="Product","Neha Kapoor","Rohan Verma")))))))</f>
        <v>Rohan Verma</v>
      </c>
      <c r="R107" s="13">
        <f t="shared" si="13"/>
        <v>46296</v>
      </c>
    </row>
    <row r="108" spans="1:18" ht="28.8">
      <c r="A108" s="2" t="s">
        <v>269</v>
      </c>
      <c r="B108" s="2" t="s">
        <v>270</v>
      </c>
      <c r="C108" s="2" t="s">
        <v>48</v>
      </c>
      <c r="D108" s="2" t="s">
        <v>113</v>
      </c>
      <c r="E108" s="2">
        <v>4</v>
      </c>
      <c r="F108" s="2">
        <v>22</v>
      </c>
      <c r="G108" s="2">
        <v>19</v>
      </c>
      <c r="H108" s="2">
        <v>156</v>
      </c>
      <c r="I108" s="2">
        <v>58</v>
      </c>
      <c r="J108" s="2">
        <v>12</v>
      </c>
      <c r="K108" s="3" t="s">
        <v>40</v>
      </c>
      <c r="L108" s="6">
        <f t="shared" si="7"/>
        <v>0.37179487179487181</v>
      </c>
      <c r="M108" s="6">
        <f t="shared" si="8"/>
        <v>0.86363636363636365</v>
      </c>
      <c r="N108" t="str">
        <f t="shared" si="9"/>
        <v>Medium</v>
      </c>
      <c r="O108" t="str">
        <f t="shared" si="10"/>
        <v>Meets Expectations</v>
      </c>
      <c r="P108" t="str">
        <f t="shared" si="11"/>
        <v>Medium Productivity</v>
      </c>
      <c r="Q108" t="str">
        <f t="shared" ref="Q108:Q138" si="16">IF(C108="Sales","Arjun Mehta",IF(C108="Marketing","Priya Nair",IF(C108="Finance","Rahul Sharma",IF(C108="HR","Ananya Iyer",IF(C108="Operations","Vikram Rao",IF(C108="IT","Karthik Menon",IF(C108="Product","Neha Kapoor","Rohan Verma")))))))</f>
        <v>Priya Nair</v>
      </c>
      <c r="R108" s="13">
        <f t="shared" si="13"/>
        <v>46327</v>
      </c>
    </row>
    <row r="109" spans="1:18" ht="28.8">
      <c r="A109" s="2" t="s">
        <v>271</v>
      </c>
      <c r="B109" s="2" t="s">
        <v>272</v>
      </c>
      <c r="C109" s="2" t="s">
        <v>27</v>
      </c>
      <c r="D109" s="2" t="s">
        <v>128</v>
      </c>
      <c r="E109" s="2">
        <v>4</v>
      </c>
      <c r="F109" s="2">
        <v>18</v>
      </c>
      <c r="G109" s="2">
        <v>14</v>
      </c>
      <c r="H109" s="2">
        <v>168</v>
      </c>
      <c r="I109" s="2">
        <v>117</v>
      </c>
      <c r="J109" s="2">
        <v>9</v>
      </c>
      <c r="K109" s="3" t="s">
        <v>40</v>
      </c>
      <c r="L109" s="6">
        <f t="shared" si="7"/>
        <v>0.6964285714285714</v>
      </c>
      <c r="M109" s="6">
        <f t="shared" si="8"/>
        <v>0.77777777777777779</v>
      </c>
      <c r="N109" t="str">
        <f t="shared" si="9"/>
        <v>Low</v>
      </c>
      <c r="O109" t="str">
        <f t="shared" si="10"/>
        <v>Meets Expectations</v>
      </c>
      <c r="P109" t="str">
        <f t="shared" si="11"/>
        <v>Medium Productivity</v>
      </c>
      <c r="Q109" t="str">
        <f t="shared" si="16"/>
        <v>Vikram Rao</v>
      </c>
      <c r="R109" s="13">
        <f t="shared" si="13"/>
        <v>46357</v>
      </c>
    </row>
    <row r="110" spans="1:18">
      <c r="A110" s="2" t="s">
        <v>273</v>
      </c>
      <c r="B110" s="2" t="s">
        <v>274</v>
      </c>
      <c r="C110" s="2" t="s">
        <v>48</v>
      </c>
      <c r="D110" s="2" t="s">
        <v>49</v>
      </c>
      <c r="E110" s="2">
        <v>3</v>
      </c>
      <c r="F110" s="2">
        <v>20</v>
      </c>
      <c r="G110" s="2">
        <v>21</v>
      </c>
      <c r="H110" s="2">
        <v>185</v>
      </c>
      <c r="I110" s="2">
        <v>83</v>
      </c>
      <c r="J110" s="2">
        <v>8</v>
      </c>
      <c r="K110" s="3" t="s">
        <v>84</v>
      </c>
      <c r="L110" s="6">
        <f t="shared" si="7"/>
        <v>0.44864864864864867</v>
      </c>
      <c r="M110" s="6">
        <f t="shared" si="8"/>
        <v>1.05</v>
      </c>
      <c r="N110" t="str">
        <f t="shared" si="9"/>
        <v>Low</v>
      </c>
      <c r="O110" t="str">
        <f t="shared" si="10"/>
        <v>Meets Expectations</v>
      </c>
      <c r="P110" t="str">
        <f t="shared" si="11"/>
        <v>High Productivity</v>
      </c>
      <c r="Q110" t="str">
        <f t="shared" si="16"/>
        <v>Priya Nair</v>
      </c>
      <c r="R110" s="13">
        <f t="shared" si="13"/>
        <v>46023</v>
      </c>
    </row>
    <row r="111" spans="1:18" ht="28.8">
      <c r="A111" s="2" t="s">
        <v>275</v>
      </c>
      <c r="B111" s="2" t="s">
        <v>276</v>
      </c>
      <c r="C111" s="2" t="s">
        <v>18</v>
      </c>
      <c r="D111" s="2" t="s">
        <v>23</v>
      </c>
      <c r="E111" s="2">
        <v>3</v>
      </c>
      <c r="F111" s="2">
        <v>22</v>
      </c>
      <c r="G111" s="2">
        <v>21</v>
      </c>
      <c r="H111" s="2">
        <v>192</v>
      </c>
      <c r="I111" s="2">
        <v>132</v>
      </c>
      <c r="J111" s="2">
        <v>15</v>
      </c>
      <c r="K111" s="3" t="s">
        <v>37</v>
      </c>
      <c r="L111" s="6">
        <f t="shared" si="7"/>
        <v>0.6875</v>
      </c>
      <c r="M111" s="6">
        <f t="shared" si="8"/>
        <v>0.95454545454545459</v>
      </c>
      <c r="N111" t="str">
        <f t="shared" si="9"/>
        <v>Medium</v>
      </c>
      <c r="O111" t="str">
        <f t="shared" si="10"/>
        <v>Meets Expectations</v>
      </c>
      <c r="P111" t="str">
        <f t="shared" si="11"/>
        <v>High Productivity</v>
      </c>
      <c r="Q111" t="str">
        <f t="shared" si="16"/>
        <v>Karthik Menon</v>
      </c>
      <c r="R111" s="13">
        <f t="shared" si="13"/>
        <v>46054</v>
      </c>
    </row>
    <row r="112" spans="1:18" ht="28.8">
      <c r="A112" s="2" t="s">
        <v>277</v>
      </c>
      <c r="B112" s="2" t="s">
        <v>278</v>
      </c>
      <c r="C112" s="2" t="s">
        <v>32</v>
      </c>
      <c r="D112" s="2" t="s">
        <v>123</v>
      </c>
      <c r="E112" s="2">
        <v>3</v>
      </c>
      <c r="F112" s="2">
        <v>8</v>
      </c>
      <c r="G112" s="2">
        <v>7</v>
      </c>
      <c r="H112" s="2">
        <v>145</v>
      </c>
      <c r="I112" s="2">
        <v>39</v>
      </c>
      <c r="J112" s="2">
        <v>11</v>
      </c>
      <c r="K112" s="3" t="s">
        <v>37</v>
      </c>
      <c r="L112" s="6">
        <f t="shared" si="7"/>
        <v>0.26896551724137929</v>
      </c>
      <c r="M112" s="6">
        <f t="shared" si="8"/>
        <v>0.875</v>
      </c>
      <c r="N112" t="str">
        <f t="shared" si="9"/>
        <v>Medium</v>
      </c>
      <c r="O112" t="str">
        <f t="shared" si="10"/>
        <v>Meets Expectations</v>
      </c>
      <c r="P112" t="str">
        <f t="shared" si="11"/>
        <v>Medium Productivity</v>
      </c>
      <c r="Q112" t="str">
        <f t="shared" si="16"/>
        <v>Ananya Iyer</v>
      </c>
      <c r="R112" s="13">
        <f t="shared" si="13"/>
        <v>46082</v>
      </c>
    </row>
    <row r="113" spans="1:18" ht="28.8">
      <c r="A113" s="2" t="s">
        <v>279</v>
      </c>
      <c r="B113" s="2" t="s">
        <v>280</v>
      </c>
      <c r="C113" s="2" t="s">
        <v>27</v>
      </c>
      <c r="D113" s="2" t="s">
        <v>104</v>
      </c>
      <c r="E113" s="2">
        <v>5</v>
      </c>
      <c r="F113" s="2">
        <v>15</v>
      </c>
      <c r="G113" s="2">
        <v>14</v>
      </c>
      <c r="H113" s="2">
        <v>187</v>
      </c>
      <c r="I113" s="2">
        <v>114</v>
      </c>
      <c r="J113" s="2">
        <v>19</v>
      </c>
      <c r="K113" s="3" t="s">
        <v>89</v>
      </c>
      <c r="L113" s="6">
        <f t="shared" si="7"/>
        <v>0.60962566844919786</v>
      </c>
      <c r="M113" s="6">
        <f t="shared" si="8"/>
        <v>0.93333333333333335</v>
      </c>
      <c r="N113" t="str">
        <f t="shared" si="9"/>
        <v>Medium</v>
      </c>
      <c r="O113" t="str">
        <f t="shared" si="10"/>
        <v>Meets Expectations</v>
      </c>
      <c r="P113" t="str">
        <f t="shared" si="11"/>
        <v>High Productivity</v>
      </c>
      <c r="Q113" t="str">
        <f t="shared" si="16"/>
        <v>Vikram Rao</v>
      </c>
      <c r="R113" s="13">
        <f t="shared" si="13"/>
        <v>46113</v>
      </c>
    </row>
    <row r="114" spans="1:18">
      <c r="A114" s="2" t="s">
        <v>281</v>
      </c>
      <c r="B114" s="2" t="s">
        <v>282</v>
      </c>
      <c r="C114" s="2" t="s">
        <v>27</v>
      </c>
      <c r="D114" s="2" t="s">
        <v>28</v>
      </c>
      <c r="E114" s="2">
        <v>3</v>
      </c>
      <c r="F114" s="2">
        <v>21</v>
      </c>
      <c r="G114" s="2">
        <v>17</v>
      </c>
      <c r="H114" s="2">
        <v>196</v>
      </c>
      <c r="I114" s="2">
        <v>127</v>
      </c>
      <c r="J114" s="2">
        <v>9</v>
      </c>
      <c r="K114" s="3" t="s">
        <v>45</v>
      </c>
      <c r="L114" s="6">
        <f t="shared" si="7"/>
        <v>0.64795918367346939</v>
      </c>
      <c r="M114" s="6">
        <f t="shared" si="8"/>
        <v>0.80952380952380953</v>
      </c>
      <c r="N114" t="str">
        <f t="shared" si="9"/>
        <v>Low</v>
      </c>
      <c r="O114" t="str">
        <f t="shared" si="10"/>
        <v>Meets Expectations</v>
      </c>
      <c r="P114" t="str">
        <f t="shared" si="11"/>
        <v>Medium Productivity</v>
      </c>
      <c r="Q114" t="str">
        <f t="shared" si="16"/>
        <v>Vikram Rao</v>
      </c>
      <c r="R114" s="13">
        <f t="shared" si="13"/>
        <v>46143</v>
      </c>
    </row>
    <row r="115" spans="1:18">
      <c r="A115" s="2" t="s">
        <v>283</v>
      </c>
      <c r="B115" s="2" t="s">
        <v>284</v>
      </c>
      <c r="C115" s="2" t="s">
        <v>59</v>
      </c>
      <c r="D115" s="2" t="s">
        <v>101</v>
      </c>
      <c r="E115" s="2">
        <v>4</v>
      </c>
      <c r="F115" s="2">
        <v>17</v>
      </c>
      <c r="G115" s="2">
        <v>17</v>
      </c>
      <c r="H115" s="2">
        <v>174</v>
      </c>
      <c r="I115" s="2">
        <v>83</v>
      </c>
      <c r="J115" s="2">
        <v>16</v>
      </c>
      <c r="K115" s="3" t="s">
        <v>34</v>
      </c>
      <c r="L115" s="6">
        <f t="shared" si="7"/>
        <v>0.47701149425287354</v>
      </c>
      <c r="M115" s="6">
        <f t="shared" si="8"/>
        <v>1</v>
      </c>
      <c r="N115" t="str">
        <f t="shared" si="9"/>
        <v>Medium</v>
      </c>
      <c r="O115" t="str">
        <f t="shared" si="10"/>
        <v>Meets Expectations</v>
      </c>
      <c r="P115" t="str">
        <f t="shared" si="11"/>
        <v>High Productivity</v>
      </c>
      <c r="Q115" t="str">
        <f t="shared" si="16"/>
        <v>Rahul Sharma</v>
      </c>
      <c r="R115" s="13">
        <f t="shared" si="13"/>
        <v>46174</v>
      </c>
    </row>
    <row r="116" spans="1:18">
      <c r="A116" s="2" t="s">
        <v>285</v>
      </c>
      <c r="B116" s="2" t="s">
        <v>286</v>
      </c>
      <c r="C116" s="2" t="s">
        <v>48</v>
      </c>
      <c r="D116" s="2" t="s">
        <v>49</v>
      </c>
      <c r="E116" s="2">
        <v>4</v>
      </c>
      <c r="F116" s="2">
        <v>16</v>
      </c>
      <c r="G116" s="2">
        <v>12</v>
      </c>
      <c r="H116" s="2">
        <v>174</v>
      </c>
      <c r="I116" s="2">
        <v>69</v>
      </c>
      <c r="J116" s="2">
        <v>10</v>
      </c>
      <c r="K116" s="3" t="s">
        <v>24</v>
      </c>
      <c r="L116" s="6">
        <f t="shared" si="7"/>
        <v>0.39655172413793105</v>
      </c>
      <c r="M116" s="6">
        <f t="shared" si="8"/>
        <v>0.75</v>
      </c>
      <c r="N116" t="str">
        <f t="shared" si="9"/>
        <v>Medium</v>
      </c>
      <c r="O116" t="str">
        <f t="shared" si="10"/>
        <v>Meets Expectations</v>
      </c>
      <c r="P116" t="str">
        <f t="shared" si="11"/>
        <v>Medium Productivity</v>
      </c>
      <c r="Q116" t="str">
        <f t="shared" si="16"/>
        <v>Priya Nair</v>
      </c>
      <c r="R116" s="13">
        <f t="shared" si="13"/>
        <v>46204</v>
      </c>
    </row>
    <row r="117" spans="1:18" ht="28.8">
      <c r="A117" s="2" t="s">
        <v>287</v>
      </c>
      <c r="B117" s="2" t="s">
        <v>288</v>
      </c>
      <c r="C117" s="2" t="s">
        <v>43</v>
      </c>
      <c r="D117" s="2" t="s">
        <v>96</v>
      </c>
      <c r="E117" s="2">
        <v>5</v>
      </c>
      <c r="F117" s="2">
        <v>22</v>
      </c>
      <c r="G117" s="2">
        <v>26</v>
      </c>
      <c r="H117" s="2">
        <v>166</v>
      </c>
      <c r="I117" s="2">
        <v>95</v>
      </c>
      <c r="J117" s="2">
        <v>17</v>
      </c>
      <c r="K117" s="3" t="s">
        <v>20</v>
      </c>
      <c r="L117" s="6">
        <f t="shared" si="7"/>
        <v>0.57228915662650603</v>
      </c>
      <c r="M117" s="6">
        <f t="shared" si="8"/>
        <v>1.1818181818181819</v>
      </c>
      <c r="N117" t="str">
        <f t="shared" si="9"/>
        <v>Medium</v>
      </c>
      <c r="O117" t="str">
        <f t="shared" si="10"/>
        <v>Meets Expectations</v>
      </c>
      <c r="P117" t="str">
        <f t="shared" si="11"/>
        <v>High Productivity</v>
      </c>
      <c r="Q117" t="str">
        <f t="shared" si="16"/>
        <v>Arjun Mehta</v>
      </c>
      <c r="R117" s="13">
        <f t="shared" si="13"/>
        <v>46235</v>
      </c>
    </row>
    <row r="118" spans="1:18" ht="28.8">
      <c r="A118" s="2" t="s">
        <v>289</v>
      </c>
      <c r="B118" s="2" t="s">
        <v>290</v>
      </c>
      <c r="C118" s="2" t="s">
        <v>52</v>
      </c>
      <c r="D118" s="2" t="s">
        <v>173</v>
      </c>
      <c r="E118" s="2">
        <v>3</v>
      </c>
      <c r="F118" s="2">
        <v>14</v>
      </c>
      <c r="G118" s="2">
        <v>12</v>
      </c>
      <c r="H118" s="2">
        <v>183</v>
      </c>
      <c r="I118" s="2">
        <v>115</v>
      </c>
      <c r="J118" s="2">
        <v>13</v>
      </c>
      <c r="K118" s="3" t="s">
        <v>37</v>
      </c>
      <c r="L118" s="6">
        <f t="shared" si="7"/>
        <v>0.62841530054644812</v>
      </c>
      <c r="M118" s="6">
        <f t="shared" si="8"/>
        <v>0.8571428571428571</v>
      </c>
      <c r="N118" t="str">
        <f t="shared" si="9"/>
        <v>Medium</v>
      </c>
      <c r="O118" t="str">
        <f t="shared" si="10"/>
        <v>Meets Expectations</v>
      </c>
      <c r="P118" t="str">
        <f t="shared" si="11"/>
        <v>Medium Productivity</v>
      </c>
      <c r="Q118" t="str">
        <f t="shared" si="16"/>
        <v>Rohan Verma</v>
      </c>
      <c r="R118" s="13">
        <f t="shared" si="13"/>
        <v>46266</v>
      </c>
    </row>
    <row r="119" spans="1:18">
      <c r="A119" s="2" t="s">
        <v>291</v>
      </c>
      <c r="B119" s="2" t="s">
        <v>292</v>
      </c>
      <c r="C119" s="2" t="s">
        <v>32</v>
      </c>
      <c r="D119" s="2" t="s">
        <v>33</v>
      </c>
      <c r="E119" s="2">
        <v>3</v>
      </c>
      <c r="F119" s="2">
        <v>18</v>
      </c>
      <c r="G119" s="2">
        <v>15</v>
      </c>
      <c r="H119" s="2">
        <v>184</v>
      </c>
      <c r="I119" s="2">
        <v>61</v>
      </c>
      <c r="J119" s="2">
        <v>4</v>
      </c>
      <c r="K119" s="3" t="s">
        <v>84</v>
      </c>
      <c r="L119" s="6">
        <f t="shared" si="7"/>
        <v>0.33152173913043476</v>
      </c>
      <c r="M119" s="6">
        <f t="shared" si="8"/>
        <v>0.83333333333333337</v>
      </c>
      <c r="N119" t="str">
        <f t="shared" si="9"/>
        <v>Low</v>
      </c>
      <c r="O119" t="str">
        <f t="shared" si="10"/>
        <v>Meets Expectations</v>
      </c>
      <c r="P119" t="str">
        <f t="shared" si="11"/>
        <v>Medium Productivity</v>
      </c>
      <c r="Q119" t="str">
        <f t="shared" si="16"/>
        <v>Ananya Iyer</v>
      </c>
      <c r="R119" s="13">
        <f t="shared" si="13"/>
        <v>46296</v>
      </c>
    </row>
    <row r="120" spans="1:18">
      <c r="A120" s="2" t="s">
        <v>293</v>
      </c>
      <c r="B120" s="2" t="s">
        <v>294</v>
      </c>
      <c r="C120" s="2" t="s">
        <v>52</v>
      </c>
      <c r="D120" s="2" t="s">
        <v>81</v>
      </c>
      <c r="E120" s="2">
        <v>4</v>
      </c>
      <c r="F120" s="2">
        <v>16</v>
      </c>
      <c r="G120" s="2">
        <v>16</v>
      </c>
      <c r="H120" s="2">
        <v>182</v>
      </c>
      <c r="I120" s="2">
        <v>130</v>
      </c>
      <c r="J120" s="2">
        <v>3</v>
      </c>
      <c r="K120" s="3" t="s">
        <v>24</v>
      </c>
      <c r="L120" s="6">
        <f t="shared" si="7"/>
        <v>0.7142857142857143</v>
      </c>
      <c r="M120" s="6">
        <f t="shared" si="8"/>
        <v>1</v>
      </c>
      <c r="N120" t="str">
        <f t="shared" si="9"/>
        <v>Low</v>
      </c>
      <c r="O120" t="str">
        <f t="shared" si="10"/>
        <v>Meets Expectations</v>
      </c>
      <c r="P120" t="str">
        <f t="shared" si="11"/>
        <v>High Productivity</v>
      </c>
      <c r="Q120" t="str">
        <f t="shared" si="16"/>
        <v>Rohan Verma</v>
      </c>
      <c r="R120" s="13">
        <f t="shared" si="13"/>
        <v>46327</v>
      </c>
    </row>
    <row r="121" spans="1:18">
      <c r="A121" s="2" t="s">
        <v>295</v>
      </c>
      <c r="B121" s="2" t="s">
        <v>296</v>
      </c>
      <c r="C121" s="2" t="s">
        <v>59</v>
      </c>
      <c r="D121" s="2" t="s">
        <v>72</v>
      </c>
      <c r="E121" s="2">
        <v>1</v>
      </c>
      <c r="F121" s="2">
        <v>17</v>
      </c>
      <c r="G121" s="2">
        <v>11</v>
      </c>
      <c r="H121" s="2">
        <v>177</v>
      </c>
      <c r="I121" s="2">
        <v>80</v>
      </c>
      <c r="J121" s="2">
        <v>15</v>
      </c>
      <c r="K121" s="3" t="s">
        <v>78</v>
      </c>
      <c r="L121" s="6">
        <f t="shared" si="7"/>
        <v>0.4519774011299435</v>
      </c>
      <c r="M121" s="6">
        <f t="shared" si="8"/>
        <v>0.6470588235294118</v>
      </c>
      <c r="N121" t="str">
        <f t="shared" si="9"/>
        <v>Medium</v>
      </c>
      <c r="O121" t="str">
        <f t="shared" si="10"/>
        <v>Needs Improvement</v>
      </c>
      <c r="P121" t="str">
        <f t="shared" si="11"/>
        <v>Medium Productivity</v>
      </c>
      <c r="Q121" t="str">
        <f t="shared" si="16"/>
        <v>Rahul Sharma</v>
      </c>
      <c r="R121" s="13">
        <f t="shared" si="13"/>
        <v>46357</v>
      </c>
    </row>
    <row r="122" spans="1:18" ht="28.8">
      <c r="A122" s="2" t="s">
        <v>297</v>
      </c>
      <c r="B122" s="2" t="s">
        <v>298</v>
      </c>
      <c r="C122" s="2" t="s">
        <v>59</v>
      </c>
      <c r="D122" s="2" t="s">
        <v>60</v>
      </c>
      <c r="E122" s="2">
        <v>4</v>
      </c>
      <c r="F122" s="2">
        <v>11</v>
      </c>
      <c r="G122" s="2">
        <v>10</v>
      </c>
      <c r="H122" s="2">
        <v>188</v>
      </c>
      <c r="I122" s="2">
        <v>57</v>
      </c>
      <c r="J122" s="2">
        <v>12</v>
      </c>
      <c r="K122" s="3" t="s">
        <v>40</v>
      </c>
      <c r="L122" s="6">
        <f t="shared" si="7"/>
        <v>0.30319148936170215</v>
      </c>
      <c r="M122" s="6">
        <f t="shared" si="8"/>
        <v>0.90909090909090906</v>
      </c>
      <c r="N122" t="str">
        <f t="shared" si="9"/>
        <v>Medium</v>
      </c>
      <c r="O122" t="str">
        <f t="shared" si="10"/>
        <v>Meets Expectations</v>
      </c>
      <c r="P122" t="str">
        <f t="shared" si="11"/>
        <v>High Productivity</v>
      </c>
      <c r="Q122" t="str">
        <f t="shared" si="16"/>
        <v>Rahul Sharma</v>
      </c>
      <c r="R122" s="13">
        <f t="shared" si="13"/>
        <v>46023</v>
      </c>
    </row>
    <row r="123" spans="1:18" ht="28.8">
      <c r="A123" s="2" t="s">
        <v>299</v>
      </c>
      <c r="B123" s="2" t="s">
        <v>300</v>
      </c>
      <c r="C123" s="2" t="s">
        <v>48</v>
      </c>
      <c r="D123" s="2" t="s">
        <v>49</v>
      </c>
      <c r="E123" s="2">
        <v>4</v>
      </c>
      <c r="F123" s="2">
        <v>19</v>
      </c>
      <c r="G123" s="2">
        <v>14</v>
      </c>
      <c r="H123" s="2">
        <v>158</v>
      </c>
      <c r="I123" s="2">
        <v>95</v>
      </c>
      <c r="J123" s="2">
        <v>11</v>
      </c>
      <c r="K123" s="3" t="s">
        <v>40</v>
      </c>
      <c r="L123" s="6">
        <f t="shared" si="7"/>
        <v>0.60126582278481011</v>
      </c>
      <c r="M123" s="6">
        <f t="shared" si="8"/>
        <v>0.73684210526315785</v>
      </c>
      <c r="N123" t="str">
        <f t="shared" si="9"/>
        <v>Medium</v>
      </c>
      <c r="O123" t="str">
        <f t="shared" si="10"/>
        <v>Meets Expectations</v>
      </c>
      <c r="P123" t="str">
        <f t="shared" si="11"/>
        <v>Medium Productivity</v>
      </c>
      <c r="Q123" t="str">
        <f>IF(C123="Sales","Arjun Mehta",IF(C123="Marketing","Priya Nair",IF(C123="Finance","Rahul Sharma",IF(C123="HR","Ananya Iyer",IF(C123="Operations","Vikram Rao",IF(C123="IT","Karthik Menon",IF(C123="Product","Neha Kapoor","Rohan Verma")))))))</f>
        <v>Priya Nair</v>
      </c>
      <c r="R123" s="13">
        <f t="shared" si="13"/>
        <v>46054</v>
      </c>
    </row>
    <row r="124" spans="1:18">
      <c r="A124" s="2" t="s">
        <v>301</v>
      </c>
      <c r="B124" s="2" t="s">
        <v>302</v>
      </c>
      <c r="C124" s="2" t="s">
        <v>18</v>
      </c>
      <c r="D124" s="2" t="s">
        <v>19</v>
      </c>
      <c r="E124" s="2">
        <v>4</v>
      </c>
      <c r="F124" s="2">
        <v>10</v>
      </c>
      <c r="G124" s="2">
        <v>10</v>
      </c>
      <c r="H124" s="2">
        <v>188</v>
      </c>
      <c r="I124" s="2">
        <v>129</v>
      </c>
      <c r="J124" s="2">
        <v>14</v>
      </c>
      <c r="K124" s="3" t="s">
        <v>24</v>
      </c>
      <c r="L124" s="6">
        <f t="shared" si="7"/>
        <v>0.68617021276595747</v>
      </c>
      <c r="M124" s="6">
        <f t="shared" si="8"/>
        <v>1</v>
      </c>
      <c r="N124" t="str">
        <f t="shared" si="9"/>
        <v>Medium</v>
      </c>
      <c r="O124" t="str">
        <f t="shared" si="10"/>
        <v>Meets Expectations</v>
      </c>
      <c r="P124" t="str">
        <f t="shared" si="11"/>
        <v>High Productivity</v>
      </c>
      <c r="Q124" t="str">
        <f t="shared" si="16"/>
        <v>Karthik Menon</v>
      </c>
      <c r="R124" s="13">
        <f t="shared" si="13"/>
        <v>46082</v>
      </c>
    </row>
    <row r="125" spans="1:18">
      <c r="A125" s="2" t="s">
        <v>303</v>
      </c>
      <c r="B125" s="2" t="s">
        <v>304</v>
      </c>
      <c r="C125" s="2" t="s">
        <v>59</v>
      </c>
      <c r="D125" s="2" t="s">
        <v>60</v>
      </c>
      <c r="E125" s="2">
        <v>1</v>
      </c>
      <c r="F125" s="2">
        <v>20</v>
      </c>
      <c r="G125" s="2">
        <v>10</v>
      </c>
      <c r="H125" s="2">
        <v>195</v>
      </c>
      <c r="I125" s="2">
        <v>117</v>
      </c>
      <c r="J125" s="2">
        <v>14</v>
      </c>
      <c r="K125" s="3" t="s">
        <v>250</v>
      </c>
      <c r="L125" s="6">
        <f t="shared" si="7"/>
        <v>0.6</v>
      </c>
      <c r="M125" s="6">
        <f t="shared" si="8"/>
        <v>0.5</v>
      </c>
      <c r="N125" t="str">
        <f t="shared" si="9"/>
        <v>Medium</v>
      </c>
      <c r="O125" t="str">
        <f t="shared" si="10"/>
        <v>Needs Improvement</v>
      </c>
      <c r="P125" t="str">
        <f t="shared" si="11"/>
        <v>Low Productivity</v>
      </c>
      <c r="Q125" t="str">
        <f t="shared" si="16"/>
        <v>Rahul Sharma</v>
      </c>
      <c r="R125" s="13">
        <f t="shared" si="13"/>
        <v>46113</v>
      </c>
    </row>
    <row r="126" spans="1:18">
      <c r="A126" s="2" t="s">
        <v>305</v>
      </c>
      <c r="B126" s="2" t="s">
        <v>306</v>
      </c>
      <c r="C126" s="2" t="s">
        <v>43</v>
      </c>
      <c r="D126" s="2" t="s">
        <v>96</v>
      </c>
      <c r="E126" s="2">
        <v>2</v>
      </c>
      <c r="F126" s="2">
        <v>18</v>
      </c>
      <c r="G126" s="2">
        <v>16</v>
      </c>
      <c r="H126" s="2">
        <v>178</v>
      </c>
      <c r="I126" s="2">
        <v>103</v>
      </c>
      <c r="J126" s="2">
        <v>15</v>
      </c>
      <c r="K126" s="3" t="s">
        <v>29</v>
      </c>
      <c r="L126" s="6">
        <f t="shared" si="7"/>
        <v>0.5786516853932584</v>
      </c>
      <c r="M126" s="6">
        <f t="shared" si="8"/>
        <v>0.88888888888888884</v>
      </c>
      <c r="N126" t="str">
        <f t="shared" si="9"/>
        <v>Medium</v>
      </c>
      <c r="O126" t="str">
        <f t="shared" si="10"/>
        <v>Needs Improvement</v>
      </c>
      <c r="P126" t="str">
        <f t="shared" si="11"/>
        <v>Medium Productivity</v>
      </c>
      <c r="Q126" t="str">
        <f t="shared" si="16"/>
        <v>Arjun Mehta</v>
      </c>
      <c r="R126" s="13">
        <f t="shared" si="13"/>
        <v>46143</v>
      </c>
    </row>
    <row r="127" spans="1:18" ht="28.8">
      <c r="A127" s="2" t="s">
        <v>307</v>
      </c>
      <c r="B127" s="2" t="s">
        <v>308</v>
      </c>
      <c r="C127" s="2" t="s">
        <v>48</v>
      </c>
      <c r="D127" s="2" t="s">
        <v>75</v>
      </c>
      <c r="E127" s="2">
        <v>3</v>
      </c>
      <c r="F127" s="2">
        <v>27</v>
      </c>
      <c r="G127" s="2">
        <v>17</v>
      </c>
      <c r="H127" s="2">
        <v>159</v>
      </c>
      <c r="I127" s="2">
        <v>65</v>
      </c>
      <c r="J127" s="2">
        <v>12</v>
      </c>
      <c r="K127" s="3" t="s">
        <v>37</v>
      </c>
      <c r="L127" s="6">
        <f t="shared" si="7"/>
        <v>0.4088050314465409</v>
      </c>
      <c r="M127" s="6">
        <f t="shared" si="8"/>
        <v>0.62962962962962965</v>
      </c>
      <c r="N127" t="str">
        <f t="shared" si="9"/>
        <v>Medium</v>
      </c>
      <c r="O127" t="str">
        <f t="shared" si="10"/>
        <v>Meets Expectations</v>
      </c>
      <c r="P127" t="str">
        <f t="shared" si="11"/>
        <v>Medium Productivity</v>
      </c>
      <c r="Q127" t="str">
        <f t="shared" si="16"/>
        <v>Priya Nair</v>
      </c>
      <c r="R127" s="13">
        <f t="shared" si="13"/>
        <v>46174</v>
      </c>
    </row>
    <row r="128" spans="1:18">
      <c r="A128" s="2" t="s">
        <v>309</v>
      </c>
      <c r="B128" s="2" t="s">
        <v>310</v>
      </c>
      <c r="C128" s="2" t="s">
        <v>27</v>
      </c>
      <c r="D128" s="2" t="s">
        <v>28</v>
      </c>
      <c r="E128" s="2">
        <v>3</v>
      </c>
      <c r="F128" s="2">
        <v>21</v>
      </c>
      <c r="G128" s="2">
        <v>19</v>
      </c>
      <c r="H128" s="2">
        <v>173</v>
      </c>
      <c r="I128" s="2">
        <v>106</v>
      </c>
      <c r="J128" s="2">
        <v>12</v>
      </c>
      <c r="K128" s="3" t="s">
        <v>45</v>
      </c>
      <c r="L128" s="6">
        <f t="shared" si="7"/>
        <v>0.61271676300578037</v>
      </c>
      <c r="M128" s="6">
        <f t="shared" si="8"/>
        <v>0.90476190476190477</v>
      </c>
      <c r="N128" t="str">
        <f t="shared" si="9"/>
        <v>Medium</v>
      </c>
      <c r="O128" t="str">
        <f t="shared" si="10"/>
        <v>Meets Expectations</v>
      </c>
      <c r="P128" t="str">
        <f t="shared" si="11"/>
        <v>High Productivity</v>
      </c>
      <c r="Q128" t="str">
        <f t="shared" si="16"/>
        <v>Vikram Rao</v>
      </c>
      <c r="R128" s="13">
        <f t="shared" si="13"/>
        <v>46204</v>
      </c>
    </row>
    <row r="129" spans="1:18">
      <c r="A129" s="2" t="s">
        <v>311</v>
      </c>
      <c r="B129" s="2" t="s">
        <v>312</v>
      </c>
      <c r="C129" s="2" t="s">
        <v>48</v>
      </c>
      <c r="D129" s="2" t="s">
        <v>113</v>
      </c>
      <c r="E129" s="2">
        <v>4</v>
      </c>
      <c r="F129" s="2">
        <v>15</v>
      </c>
      <c r="G129" s="2">
        <v>16</v>
      </c>
      <c r="H129" s="2">
        <v>198</v>
      </c>
      <c r="I129" s="2">
        <v>74</v>
      </c>
      <c r="J129" s="2">
        <v>10</v>
      </c>
      <c r="K129" s="3" t="s">
        <v>34</v>
      </c>
      <c r="L129" s="6">
        <f t="shared" si="7"/>
        <v>0.37373737373737376</v>
      </c>
      <c r="M129" s="6">
        <f t="shared" si="8"/>
        <v>1.0666666666666667</v>
      </c>
      <c r="N129" t="str">
        <f t="shared" si="9"/>
        <v>Medium</v>
      </c>
      <c r="O129" t="str">
        <f t="shared" si="10"/>
        <v>Meets Expectations</v>
      </c>
      <c r="P129" t="str">
        <f t="shared" si="11"/>
        <v>High Productivity</v>
      </c>
      <c r="Q129" t="str">
        <f t="shared" si="16"/>
        <v>Priya Nair</v>
      </c>
      <c r="R129" s="13">
        <f t="shared" si="13"/>
        <v>46235</v>
      </c>
    </row>
    <row r="130" spans="1:18" ht="28.8">
      <c r="A130" s="2" t="s">
        <v>313</v>
      </c>
      <c r="B130" s="2" t="s">
        <v>314</v>
      </c>
      <c r="C130" s="2" t="s">
        <v>43</v>
      </c>
      <c r="D130" s="2" t="s">
        <v>96</v>
      </c>
      <c r="E130" s="2">
        <v>1</v>
      </c>
      <c r="F130" s="2">
        <v>14</v>
      </c>
      <c r="G130" s="2">
        <v>8</v>
      </c>
      <c r="H130" s="2">
        <v>183</v>
      </c>
      <c r="I130" s="2">
        <v>87</v>
      </c>
      <c r="J130" s="2">
        <v>18</v>
      </c>
      <c r="K130" s="3" t="s">
        <v>315</v>
      </c>
      <c r="L130" s="6">
        <f t="shared" si="7"/>
        <v>0.47540983606557374</v>
      </c>
      <c r="M130" s="6">
        <f t="shared" si="8"/>
        <v>0.5714285714285714</v>
      </c>
      <c r="N130" t="str">
        <f t="shared" si="9"/>
        <v>Medium</v>
      </c>
      <c r="O130" t="str">
        <f t="shared" si="10"/>
        <v>Needs Improvement</v>
      </c>
      <c r="P130" t="str">
        <f t="shared" si="11"/>
        <v>Low Productivity</v>
      </c>
      <c r="Q130" t="str">
        <f t="shared" si="16"/>
        <v>Arjun Mehta</v>
      </c>
      <c r="R130" s="13">
        <f t="shared" si="13"/>
        <v>46266</v>
      </c>
    </row>
    <row r="131" spans="1:18">
      <c r="A131" s="2" t="s">
        <v>316</v>
      </c>
      <c r="B131" s="2" t="s">
        <v>317</v>
      </c>
      <c r="C131" s="2" t="s">
        <v>59</v>
      </c>
      <c r="D131" s="2" t="s">
        <v>72</v>
      </c>
      <c r="E131" s="2">
        <v>3</v>
      </c>
      <c r="F131" s="2">
        <v>18</v>
      </c>
      <c r="G131" s="2">
        <v>17</v>
      </c>
      <c r="H131" s="2">
        <v>168</v>
      </c>
      <c r="I131" s="2">
        <v>59</v>
      </c>
      <c r="J131" s="2">
        <v>11</v>
      </c>
      <c r="K131" s="3" t="s">
        <v>84</v>
      </c>
      <c r="L131" s="6">
        <f t="shared" ref="L131:L194" si="17">IFERROR(I131/H131,0)</f>
        <v>0.35119047619047616</v>
      </c>
      <c r="M131" s="6">
        <f t="shared" ref="M131:M194" si="18">IFERROR(G131/F131,0)</f>
        <v>0.94444444444444442</v>
      </c>
      <c r="N131" t="str">
        <f t="shared" ref="N131:N194" si="19">IF(J131&lt;10,"Low",IF(J131&lt;=20,"Medium","High"))</f>
        <v>Medium</v>
      </c>
      <c r="O131" t="str">
        <f t="shared" ref="O131:O194" si="20">IF(AND(E131&gt;=4,L131&gt;=80%),"Star Performer",IF(E131&gt;=3,"Meets Expectations","Needs Improvement"))</f>
        <v>Meets Expectations</v>
      </c>
      <c r="P131" t="str">
        <f t="shared" ref="P131:P194" si="21">IF(M131&gt;=90%,"High Productivity",IF(M131&gt;=60%,"Medium Productivity","Low Productivity"))</f>
        <v>High Productivity</v>
      </c>
      <c r="Q131" t="str">
        <f t="shared" si="16"/>
        <v>Rahul Sharma</v>
      </c>
      <c r="R131" s="13">
        <f t="shared" ref="R131:R149" si="22">DATE(2026,MOD(ROW()-2,12)+1,1)</f>
        <v>46296</v>
      </c>
    </row>
    <row r="132" spans="1:18">
      <c r="A132" s="2" t="s">
        <v>318</v>
      </c>
      <c r="B132" s="2" t="s">
        <v>319</v>
      </c>
      <c r="C132" s="2" t="s">
        <v>18</v>
      </c>
      <c r="D132" s="2" t="s">
        <v>19</v>
      </c>
      <c r="E132" s="2">
        <v>3</v>
      </c>
      <c r="F132" s="2">
        <v>24</v>
      </c>
      <c r="G132" s="2">
        <v>20</v>
      </c>
      <c r="H132" s="2">
        <v>191</v>
      </c>
      <c r="I132" s="2">
        <v>107</v>
      </c>
      <c r="J132" s="2">
        <v>7</v>
      </c>
      <c r="K132" s="3" t="s">
        <v>45</v>
      </c>
      <c r="L132" s="6">
        <f t="shared" si="17"/>
        <v>0.56020942408376961</v>
      </c>
      <c r="M132" s="6">
        <f t="shared" si="18"/>
        <v>0.83333333333333337</v>
      </c>
      <c r="N132" t="str">
        <f t="shared" si="19"/>
        <v>Low</v>
      </c>
      <c r="O132" t="str">
        <f t="shared" si="20"/>
        <v>Meets Expectations</v>
      </c>
      <c r="P132" t="str">
        <f t="shared" si="21"/>
        <v>Medium Productivity</v>
      </c>
      <c r="Q132" t="str">
        <f t="shared" si="16"/>
        <v>Karthik Menon</v>
      </c>
      <c r="R132" s="13">
        <f t="shared" si="22"/>
        <v>46327</v>
      </c>
    </row>
    <row r="133" spans="1:18" ht="28.8">
      <c r="A133" s="2" t="s">
        <v>320</v>
      </c>
      <c r="B133" s="2" t="s">
        <v>321</v>
      </c>
      <c r="C133" s="2" t="s">
        <v>43</v>
      </c>
      <c r="D133" s="2" t="s">
        <v>44</v>
      </c>
      <c r="E133" s="2">
        <v>5</v>
      </c>
      <c r="F133" s="2">
        <v>23</v>
      </c>
      <c r="G133" s="2">
        <v>24</v>
      </c>
      <c r="H133" s="2">
        <v>173</v>
      </c>
      <c r="I133" s="2">
        <v>102</v>
      </c>
      <c r="J133" s="2">
        <v>10</v>
      </c>
      <c r="K133" s="3" t="s">
        <v>89</v>
      </c>
      <c r="L133" s="6">
        <f t="shared" si="17"/>
        <v>0.58959537572254339</v>
      </c>
      <c r="M133" s="6">
        <f t="shared" si="18"/>
        <v>1.0434782608695652</v>
      </c>
      <c r="N133" t="str">
        <f t="shared" si="19"/>
        <v>Medium</v>
      </c>
      <c r="O133" t="str">
        <f t="shared" si="20"/>
        <v>Meets Expectations</v>
      </c>
      <c r="P133" t="str">
        <f t="shared" si="21"/>
        <v>High Productivity</v>
      </c>
      <c r="Q133" t="str">
        <f t="shared" si="16"/>
        <v>Arjun Mehta</v>
      </c>
      <c r="R133" s="13">
        <f t="shared" si="22"/>
        <v>46357</v>
      </c>
    </row>
    <row r="134" spans="1:18">
      <c r="A134" s="2" t="s">
        <v>322</v>
      </c>
      <c r="B134" s="2" t="s">
        <v>323</v>
      </c>
      <c r="C134" s="2" t="s">
        <v>52</v>
      </c>
      <c r="D134" s="2" t="s">
        <v>81</v>
      </c>
      <c r="E134" s="2">
        <v>1</v>
      </c>
      <c r="F134" s="2">
        <v>16</v>
      </c>
      <c r="G134" s="2">
        <v>9</v>
      </c>
      <c r="H134" s="2">
        <v>167</v>
      </c>
      <c r="I134" s="2">
        <v>132</v>
      </c>
      <c r="J134" s="2">
        <v>16</v>
      </c>
      <c r="K134" s="3" t="s">
        <v>250</v>
      </c>
      <c r="L134" s="6">
        <f t="shared" si="17"/>
        <v>0.79041916167664672</v>
      </c>
      <c r="M134" s="6">
        <f t="shared" si="18"/>
        <v>0.5625</v>
      </c>
      <c r="N134" t="str">
        <f t="shared" si="19"/>
        <v>Medium</v>
      </c>
      <c r="O134" t="str">
        <f t="shared" si="20"/>
        <v>Needs Improvement</v>
      </c>
      <c r="P134" t="str">
        <f t="shared" si="21"/>
        <v>Low Productivity</v>
      </c>
      <c r="Q134" t="str">
        <f t="shared" si="16"/>
        <v>Rohan Verma</v>
      </c>
      <c r="R134" s="13">
        <f t="shared" si="22"/>
        <v>46023</v>
      </c>
    </row>
    <row r="135" spans="1:18">
      <c r="A135" s="2" t="s">
        <v>324</v>
      </c>
      <c r="B135" s="2" t="s">
        <v>325</v>
      </c>
      <c r="C135" s="2" t="s">
        <v>52</v>
      </c>
      <c r="D135" s="2" t="s">
        <v>173</v>
      </c>
      <c r="E135" s="2">
        <v>3</v>
      </c>
      <c r="F135" s="2">
        <v>24</v>
      </c>
      <c r="G135" s="2">
        <v>21</v>
      </c>
      <c r="H135" s="2">
        <v>170</v>
      </c>
      <c r="I135" s="2">
        <v>130</v>
      </c>
      <c r="J135" s="2">
        <v>14</v>
      </c>
      <c r="K135" s="3" t="s">
        <v>45</v>
      </c>
      <c r="L135" s="6">
        <f t="shared" si="17"/>
        <v>0.76470588235294112</v>
      </c>
      <c r="M135" s="6">
        <f t="shared" si="18"/>
        <v>0.875</v>
      </c>
      <c r="N135" t="str">
        <f t="shared" si="19"/>
        <v>Medium</v>
      </c>
      <c r="O135" t="str">
        <f t="shared" si="20"/>
        <v>Meets Expectations</v>
      </c>
      <c r="P135" t="str">
        <f t="shared" si="21"/>
        <v>Medium Productivity</v>
      </c>
      <c r="Q135" t="str">
        <f>IF(C135="Sales","Arjun Mehta",IF(C135="Marketing","Priya Nair",IF(C135="Finance","Rahul Sharma",IF(C135="HR","Ananya Iyer",IF(C135="Operations","Vikram Rao",IF(C135="IT","Karthik Menon",IF(C135="Product","Neha Kapoor","Rohan Verma")))))))</f>
        <v>Rohan Verma</v>
      </c>
      <c r="R135" s="13">
        <f t="shared" si="22"/>
        <v>46054</v>
      </c>
    </row>
    <row r="136" spans="1:18">
      <c r="A136" s="2" t="s">
        <v>326</v>
      </c>
      <c r="B136" s="2" t="s">
        <v>327</v>
      </c>
      <c r="C136" s="2" t="s">
        <v>59</v>
      </c>
      <c r="D136" s="2" t="s">
        <v>60</v>
      </c>
      <c r="E136" s="2">
        <v>2</v>
      </c>
      <c r="F136" s="2">
        <v>20</v>
      </c>
      <c r="G136" s="2">
        <v>15</v>
      </c>
      <c r="H136" s="2">
        <v>188</v>
      </c>
      <c r="I136" s="2">
        <v>94</v>
      </c>
      <c r="J136" s="2">
        <v>22</v>
      </c>
      <c r="K136" s="3" t="s">
        <v>29</v>
      </c>
      <c r="L136" s="6">
        <f t="shared" si="17"/>
        <v>0.5</v>
      </c>
      <c r="M136" s="6">
        <f t="shared" si="18"/>
        <v>0.75</v>
      </c>
      <c r="N136" t="str">
        <f t="shared" si="19"/>
        <v>High</v>
      </c>
      <c r="O136" t="str">
        <f t="shared" si="20"/>
        <v>Needs Improvement</v>
      </c>
      <c r="P136" t="str">
        <f t="shared" si="21"/>
        <v>Medium Productivity</v>
      </c>
      <c r="Q136" t="str">
        <f t="shared" si="16"/>
        <v>Rahul Sharma</v>
      </c>
      <c r="R136" s="13">
        <f t="shared" si="22"/>
        <v>46082</v>
      </c>
    </row>
    <row r="137" spans="1:18" ht="28.8">
      <c r="A137" s="2" t="s">
        <v>328</v>
      </c>
      <c r="B137" s="2" t="s">
        <v>329</v>
      </c>
      <c r="C137" s="2" t="s">
        <v>32</v>
      </c>
      <c r="D137" s="2" t="s">
        <v>33</v>
      </c>
      <c r="E137" s="2">
        <v>5</v>
      </c>
      <c r="F137" s="2">
        <v>20</v>
      </c>
      <c r="G137" s="2">
        <v>21</v>
      </c>
      <c r="H137" s="2">
        <v>178</v>
      </c>
      <c r="I137" s="2">
        <v>74</v>
      </c>
      <c r="J137" s="2">
        <v>6</v>
      </c>
      <c r="K137" s="3" t="s">
        <v>20</v>
      </c>
      <c r="L137" s="6">
        <f t="shared" si="17"/>
        <v>0.4157303370786517</v>
      </c>
      <c r="M137" s="6">
        <f t="shared" si="18"/>
        <v>1.05</v>
      </c>
      <c r="N137" t="str">
        <f t="shared" si="19"/>
        <v>Low</v>
      </c>
      <c r="O137" t="str">
        <f t="shared" si="20"/>
        <v>Meets Expectations</v>
      </c>
      <c r="P137" t="str">
        <f t="shared" si="21"/>
        <v>High Productivity</v>
      </c>
      <c r="Q137" t="str">
        <f t="shared" si="16"/>
        <v>Ananya Iyer</v>
      </c>
      <c r="R137" s="13">
        <f t="shared" si="22"/>
        <v>46113</v>
      </c>
    </row>
    <row r="138" spans="1:18" ht="28.8">
      <c r="A138" s="2" t="s">
        <v>330</v>
      </c>
      <c r="B138" s="2" t="s">
        <v>331</v>
      </c>
      <c r="C138" s="2" t="s">
        <v>48</v>
      </c>
      <c r="D138" s="2" t="s">
        <v>75</v>
      </c>
      <c r="E138" s="2">
        <v>4</v>
      </c>
      <c r="F138" s="2">
        <v>23</v>
      </c>
      <c r="G138" s="2">
        <v>22</v>
      </c>
      <c r="H138" s="2">
        <v>176</v>
      </c>
      <c r="I138" s="2">
        <v>68</v>
      </c>
      <c r="J138" s="2">
        <v>12</v>
      </c>
      <c r="K138" s="3" t="s">
        <v>40</v>
      </c>
      <c r="L138" s="6">
        <f t="shared" si="17"/>
        <v>0.38636363636363635</v>
      </c>
      <c r="M138" s="6">
        <f t="shared" si="18"/>
        <v>0.95652173913043481</v>
      </c>
      <c r="N138" t="str">
        <f t="shared" si="19"/>
        <v>Medium</v>
      </c>
      <c r="O138" t="str">
        <f t="shared" si="20"/>
        <v>Meets Expectations</v>
      </c>
      <c r="P138" t="str">
        <f t="shared" si="21"/>
        <v>High Productivity</v>
      </c>
      <c r="Q138" t="str">
        <f t="shared" si="16"/>
        <v>Priya Nair</v>
      </c>
      <c r="R138" s="13">
        <f t="shared" si="22"/>
        <v>46143</v>
      </c>
    </row>
    <row r="139" spans="1:18" ht="28.8">
      <c r="A139" s="2" t="s">
        <v>332</v>
      </c>
      <c r="B139" s="2" t="s">
        <v>333</v>
      </c>
      <c r="C139" s="2" t="s">
        <v>59</v>
      </c>
      <c r="D139" s="2" t="s">
        <v>72</v>
      </c>
      <c r="E139" s="2">
        <v>3</v>
      </c>
      <c r="F139" s="2">
        <v>14</v>
      </c>
      <c r="G139" s="2">
        <v>12</v>
      </c>
      <c r="H139" s="2">
        <v>176</v>
      </c>
      <c r="I139" s="2">
        <v>90</v>
      </c>
      <c r="J139" s="2">
        <v>4</v>
      </c>
      <c r="K139" s="3" t="s">
        <v>37</v>
      </c>
      <c r="L139" s="6">
        <f t="shared" si="17"/>
        <v>0.51136363636363635</v>
      </c>
      <c r="M139" s="6">
        <f t="shared" si="18"/>
        <v>0.8571428571428571</v>
      </c>
      <c r="N139" t="str">
        <f t="shared" si="19"/>
        <v>Low</v>
      </c>
      <c r="O139" t="str">
        <f t="shared" si="20"/>
        <v>Meets Expectations</v>
      </c>
      <c r="P139" t="str">
        <f t="shared" si="21"/>
        <v>Medium Productivity</v>
      </c>
      <c r="Q139" t="str">
        <f>IF(C139="Sales","Arjun Mehta",IF(C139="Marketing","Priya Nair",IF(C139="Finance","Rahul Sharma",IF(C139="HR","Ananya Iyer",IF(C139="Operations","Vikram Rao",IF(C139="IT","Karthik Menon",IF(C139="Product","Neha Kapoor","Rohan Verma")))))))</f>
        <v>Rahul Sharma</v>
      </c>
      <c r="R139" s="13">
        <f t="shared" si="22"/>
        <v>46174</v>
      </c>
    </row>
    <row r="140" spans="1:18">
      <c r="A140" s="2" t="s">
        <v>334</v>
      </c>
      <c r="B140" s="2" t="s">
        <v>335</v>
      </c>
      <c r="C140" s="2" t="s">
        <v>27</v>
      </c>
      <c r="D140" s="2" t="s">
        <v>28</v>
      </c>
      <c r="E140" s="2">
        <v>4</v>
      </c>
      <c r="F140" s="2">
        <v>13</v>
      </c>
      <c r="G140" s="2">
        <v>12</v>
      </c>
      <c r="H140" s="2">
        <v>178</v>
      </c>
      <c r="I140" s="2">
        <v>125</v>
      </c>
      <c r="J140" s="2">
        <v>5</v>
      </c>
      <c r="K140" s="3" t="s">
        <v>34</v>
      </c>
      <c r="L140" s="6">
        <f t="shared" si="17"/>
        <v>0.702247191011236</v>
      </c>
      <c r="M140" s="6">
        <f t="shared" si="18"/>
        <v>0.92307692307692313</v>
      </c>
      <c r="N140" t="str">
        <f t="shared" si="19"/>
        <v>Low</v>
      </c>
      <c r="O140" t="str">
        <f t="shared" si="20"/>
        <v>Meets Expectations</v>
      </c>
      <c r="P140" t="str">
        <f t="shared" si="21"/>
        <v>High Productivity</v>
      </c>
      <c r="Q140" t="str">
        <f t="shared" ref="Q140:Q150" si="23">IF(C140="Sales","Arjun Mehta",IF(C140="Marketing","Priya Nair",IF(C140="Finance","Rahul Sharma",IF(C140="HR","Ananya Iyer",IF(C140="Operations","Vikram Rao",IF(C140="IT","Karthik Menon",IF(C140="Product","Neha Kapoor","Rohan Verma")))))))</f>
        <v>Vikram Rao</v>
      </c>
      <c r="R140" s="13">
        <f t="shared" si="22"/>
        <v>46204</v>
      </c>
    </row>
    <row r="141" spans="1:18">
      <c r="A141" s="2" t="s">
        <v>336</v>
      </c>
      <c r="B141" s="2" t="s">
        <v>337</v>
      </c>
      <c r="C141" s="2" t="s">
        <v>43</v>
      </c>
      <c r="D141" s="2" t="s">
        <v>96</v>
      </c>
      <c r="E141" s="2">
        <v>3</v>
      </c>
      <c r="F141" s="2">
        <v>29</v>
      </c>
      <c r="G141" s="2">
        <v>25</v>
      </c>
      <c r="H141" s="2">
        <v>168</v>
      </c>
      <c r="I141" s="2">
        <v>95</v>
      </c>
      <c r="J141" s="2">
        <v>2</v>
      </c>
      <c r="K141" s="3" t="s">
        <v>84</v>
      </c>
      <c r="L141" s="6">
        <f t="shared" si="17"/>
        <v>0.56547619047619047</v>
      </c>
      <c r="M141" s="6">
        <f t="shared" si="18"/>
        <v>0.86206896551724133</v>
      </c>
      <c r="N141" t="str">
        <f t="shared" si="19"/>
        <v>Low</v>
      </c>
      <c r="O141" t="str">
        <f t="shared" si="20"/>
        <v>Meets Expectations</v>
      </c>
      <c r="P141" t="str">
        <f t="shared" si="21"/>
        <v>Medium Productivity</v>
      </c>
      <c r="Q141" t="str">
        <f t="shared" si="23"/>
        <v>Arjun Mehta</v>
      </c>
      <c r="R141" s="13">
        <f t="shared" si="22"/>
        <v>46235</v>
      </c>
    </row>
    <row r="142" spans="1:18" ht="28.8">
      <c r="A142" s="2" t="s">
        <v>338</v>
      </c>
      <c r="B142" s="2" t="s">
        <v>339</v>
      </c>
      <c r="C142" s="2" t="s">
        <v>59</v>
      </c>
      <c r="D142" s="2" t="s">
        <v>72</v>
      </c>
      <c r="E142" s="2">
        <v>1</v>
      </c>
      <c r="F142" s="2">
        <v>9</v>
      </c>
      <c r="G142" s="2">
        <v>4</v>
      </c>
      <c r="H142" s="2">
        <v>145</v>
      </c>
      <c r="I142" s="2">
        <v>66</v>
      </c>
      <c r="J142" s="2">
        <v>13</v>
      </c>
      <c r="K142" s="3" t="s">
        <v>315</v>
      </c>
      <c r="L142" s="6">
        <f t="shared" si="17"/>
        <v>0.45517241379310347</v>
      </c>
      <c r="M142" s="6">
        <f t="shared" si="18"/>
        <v>0.44444444444444442</v>
      </c>
      <c r="N142" t="str">
        <f t="shared" si="19"/>
        <v>Medium</v>
      </c>
      <c r="O142" t="str">
        <f t="shared" si="20"/>
        <v>Needs Improvement</v>
      </c>
      <c r="P142" t="str">
        <f t="shared" si="21"/>
        <v>Low Productivity</v>
      </c>
      <c r="Q142" t="str">
        <f t="shared" si="23"/>
        <v>Rahul Sharma</v>
      </c>
      <c r="R142" s="13">
        <f t="shared" si="22"/>
        <v>46266</v>
      </c>
    </row>
    <row r="143" spans="1:18" ht="28.8">
      <c r="A143" s="2" t="s">
        <v>340</v>
      </c>
      <c r="B143" s="2" t="s">
        <v>341</v>
      </c>
      <c r="C143" s="2" t="s">
        <v>59</v>
      </c>
      <c r="D143" s="2" t="s">
        <v>72</v>
      </c>
      <c r="E143" s="2">
        <v>4</v>
      </c>
      <c r="F143" s="2">
        <v>11</v>
      </c>
      <c r="G143" s="2">
        <v>9</v>
      </c>
      <c r="H143" s="2">
        <v>188</v>
      </c>
      <c r="I143" s="2">
        <v>88</v>
      </c>
      <c r="J143" s="2">
        <v>9</v>
      </c>
      <c r="K143" s="3" t="s">
        <v>40</v>
      </c>
      <c r="L143" s="6">
        <f t="shared" si="17"/>
        <v>0.46808510638297873</v>
      </c>
      <c r="M143" s="6">
        <f t="shared" si="18"/>
        <v>0.81818181818181823</v>
      </c>
      <c r="N143" t="str">
        <f t="shared" si="19"/>
        <v>Low</v>
      </c>
      <c r="O143" t="str">
        <f t="shared" si="20"/>
        <v>Meets Expectations</v>
      </c>
      <c r="P143" t="str">
        <f t="shared" si="21"/>
        <v>Medium Productivity</v>
      </c>
      <c r="Q143" t="str">
        <f t="shared" si="23"/>
        <v>Rahul Sharma</v>
      </c>
      <c r="R143" s="13">
        <f t="shared" si="22"/>
        <v>46296</v>
      </c>
    </row>
    <row r="144" spans="1:18" ht="28.8">
      <c r="A144" s="2" t="s">
        <v>342</v>
      </c>
      <c r="B144" s="2" t="s">
        <v>343</v>
      </c>
      <c r="C144" s="2" t="s">
        <v>59</v>
      </c>
      <c r="D144" s="2" t="s">
        <v>72</v>
      </c>
      <c r="E144" s="2">
        <v>4</v>
      </c>
      <c r="F144" s="2">
        <v>12</v>
      </c>
      <c r="G144" s="2">
        <v>11</v>
      </c>
      <c r="H144" s="2">
        <v>179</v>
      </c>
      <c r="I144" s="2">
        <v>71</v>
      </c>
      <c r="J144" s="2">
        <v>11</v>
      </c>
      <c r="K144" s="3" t="s">
        <v>40</v>
      </c>
      <c r="L144" s="6">
        <f t="shared" si="17"/>
        <v>0.39664804469273746</v>
      </c>
      <c r="M144" s="6">
        <f t="shared" si="18"/>
        <v>0.91666666666666663</v>
      </c>
      <c r="N144" t="str">
        <f t="shared" si="19"/>
        <v>Medium</v>
      </c>
      <c r="O144" t="str">
        <f t="shared" si="20"/>
        <v>Meets Expectations</v>
      </c>
      <c r="P144" t="str">
        <f t="shared" si="21"/>
        <v>High Productivity</v>
      </c>
      <c r="Q144" t="str">
        <f t="shared" si="23"/>
        <v>Rahul Sharma</v>
      </c>
      <c r="R144" s="13">
        <f t="shared" si="22"/>
        <v>46327</v>
      </c>
    </row>
    <row r="145" spans="1:18" ht="28.8">
      <c r="A145" s="2" t="s">
        <v>344</v>
      </c>
      <c r="B145" s="2" t="s">
        <v>345</v>
      </c>
      <c r="C145" s="2" t="s">
        <v>59</v>
      </c>
      <c r="D145" s="2" t="s">
        <v>101</v>
      </c>
      <c r="E145" s="2">
        <v>4</v>
      </c>
      <c r="F145" s="2">
        <v>19</v>
      </c>
      <c r="G145" s="2">
        <v>16</v>
      </c>
      <c r="H145" s="2">
        <v>211</v>
      </c>
      <c r="I145" s="2">
        <v>68</v>
      </c>
      <c r="J145" s="2">
        <v>10</v>
      </c>
      <c r="K145" s="3" t="s">
        <v>40</v>
      </c>
      <c r="L145" s="6">
        <f t="shared" si="17"/>
        <v>0.32227488151658767</v>
      </c>
      <c r="M145" s="6">
        <f t="shared" si="18"/>
        <v>0.84210526315789469</v>
      </c>
      <c r="N145" t="str">
        <f t="shared" si="19"/>
        <v>Medium</v>
      </c>
      <c r="O145" t="str">
        <f t="shared" si="20"/>
        <v>Meets Expectations</v>
      </c>
      <c r="P145" t="str">
        <f t="shared" si="21"/>
        <v>Medium Productivity</v>
      </c>
      <c r="Q145" t="str">
        <f t="shared" si="23"/>
        <v>Rahul Sharma</v>
      </c>
      <c r="R145" s="13">
        <f t="shared" si="22"/>
        <v>46357</v>
      </c>
    </row>
    <row r="146" spans="1:18">
      <c r="A146" s="2" t="s">
        <v>346</v>
      </c>
      <c r="B146" s="2" t="s">
        <v>347</v>
      </c>
      <c r="C146" s="2" t="s">
        <v>43</v>
      </c>
      <c r="D146" s="2" t="s">
        <v>56</v>
      </c>
      <c r="E146" s="2">
        <v>4</v>
      </c>
      <c r="F146" s="2">
        <v>26</v>
      </c>
      <c r="G146" s="2">
        <v>29</v>
      </c>
      <c r="H146" s="2">
        <v>145</v>
      </c>
      <c r="I146" s="2">
        <v>90</v>
      </c>
      <c r="J146" s="2">
        <v>8</v>
      </c>
      <c r="K146" s="3" t="s">
        <v>34</v>
      </c>
      <c r="L146" s="6">
        <f t="shared" si="17"/>
        <v>0.62068965517241381</v>
      </c>
      <c r="M146" s="6">
        <f t="shared" si="18"/>
        <v>1.1153846153846154</v>
      </c>
      <c r="N146" t="str">
        <f t="shared" si="19"/>
        <v>Low</v>
      </c>
      <c r="O146" t="str">
        <f t="shared" si="20"/>
        <v>Meets Expectations</v>
      </c>
      <c r="P146" t="str">
        <f t="shared" si="21"/>
        <v>High Productivity</v>
      </c>
      <c r="Q146" t="str">
        <f t="shared" si="23"/>
        <v>Arjun Mehta</v>
      </c>
      <c r="R146" s="13">
        <f t="shared" si="22"/>
        <v>46023</v>
      </c>
    </row>
    <row r="147" spans="1:18">
      <c r="A147" s="2" t="s">
        <v>348</v>
      </c>
      <c r="B147" s="2" t="s">
        <v>349</v>
      </c>
      <c r="C147" s="2" t="s">
        <v>59</v>
      </c>
      <c r="D147" s="2" t="s">
        <v>72</v>
      </c>
      <c r="E147" s="2">
        <v>3</v>
      </c>
      <c r="F147" s="2">
        <v>14</v>
      </c>
      <c r="G147" s="2">
        <v>12</v>
      </c>
      <c r="H147" s="2">
        <v>165</v>
      </c>
      <c r="I147" s="2">
        <v>51</v>
      </c>
      <c r="J147" s="2">
        <v>8</v>
      </c>
      <c r="K147" s="3" t="s">
        <v>45</v>
      </c>
      <c r="L147" s="6">
        <f t="shared" si="17"/>
        <v>0.30909090909090908</v>
      </c>
      <c r="M147" s="6">
        <f t="shared" si="18"/>
        <v>0.8571428571428571</v>
      </c>
      <c r="N147" t="str">
        <f t="shared" si="19"/>
        <v>Low</v>
      </c>
      <c r="O147" t="str">
        <f t="shared" si="20"/>
        <v>Meets Expectations</v>
      </c>
      <c r="P147" t="str">
        <f t="shared" si="21"/>
        <v>Medium Productivity</v>
      </c>
      <c r="Q147" t="str">
        <f t="shared" si="23"/>
        <v>Rahul Sharma</v>
      </c>
      <c r="R147" s="13">
        <f t="shared" si="22"/>
        <v>46054</v>
      </c>
    </row>
    <row r="148" spans="1:18" ht="28.8">
      <c r="A148" s="2" t="s">
        <v>350</v>
      </c>
      <c r="B148" s="2" t="s">
        <v>351</v>
      </c>
      <c r="C148" s="2" t="s">
        <v>32</v>
      </c>
      <c r="D148" s="2" t="s">
        <v>33</v>
      </c>
      <c r="E148" s="2">
        <v>4</v>
      </c>
      <c r="F148" s="2">
        <v>12</v>
      </c>
      <c r="G148" s="2">
        <v>12</v>
      </c>
      <c r="H148" s="2">
        <v>166</v>
      </c>
      <c r="I148" s="2">
        <v>47</v>
      </c>
      <c r="J148" s="2">
        <v>2</v>
      </c>
      <c r="K148" s="3" t="s">
        <v>40</v>
      </c>
      <c r="L148" s="6">
        <f t="shared" si="17"/>
        <v>0.28313253012048195</v>
      </c>
      <c r="M148" s="6">
        <f t="shared" si="18"/>
        <v>1</v>
      </c>
      <c r="N148" t="str">
        <f t="shared" si="19"/>
        <v>Low</v>
      </c>
      <c r="O148" t="str">
        <f t="shared" si="20"/>
        <v>Meets Expectations</v>
      </c>
      <c r="P148" t="str">
        <f t="shared" si="21"/>
        <v>High Productivity</v>
      </c>
      <c r="Q148" t="str">
        <f t="shared" si="23"/>
        <v>Ananya Iyer</v>
      </c>
      <c r="R148" s="13">
        <f t="shared" si="22"/>
        <v>46082</v>
      </c>
    </row>
    <row r="149" spans="1:18">
      <c r="A149" s="2" t="s">
        <v>352</v>
      </c>
      <c r="B149" s="2" t="s">
        <v>353</v>
      </c>
      <c r="C149" s="2" t="s">
        <v>48</v>
      </c>
      <c r="D149" s="2" t="s">
        <v>75</v>
      </c>
      <c r="E149" s="2">
        <v>3</v>
      </c>
      <c r="F149" s="2">
        <v>25</v>
      </c>
      <c r="G149" s="2">
        <v>24</v>
      </c>
      <c r="H149" s="2">
        <v>186</v>
      </c>
      <c r="I149" s="2">
        <v>106</v>
      </c>
      <c r="J149" s="2">
        <v>13</v>
      </c>
      <c r="K149" s="3" t="s">
        <v>45</v>
      </c>
      <c r="L149" s="6">
        <f t="shared" si="17"/>
        <v>0.56989247311827962</v>
      </c>
      <c r="M149" s="6">
        <f t="shared" si="18"/>
        <v>0.96</v>
      </c>
      <c r="N149" t="str">
        <f t="shared" si="19"/>
        <v>Medium</v>
      </c>
      <c r="O149" t="str">
        <f t="shared" si="20"/>
        <v>Meets Expectations</v>
      </c>
      <c r="P149" t="str">
        <f t="shared" si="21"/>
        <v>High Productivity</v>
      </c>
      <c r="Q149" t="str">
        <f t="shared" si="23"/>
        <v>Priya Nair</v>
      </c>
      <c r="R149" s="13">
        <f t="shared" si="22"/>
        <v>46113</v>
      </c>
    </row>
    <row r="150" spans="1:18" ht="28.8">
      <c r="A150" s="2" t="s">
        <v>354</v>
      </c>
      <c r="B150" s="2" t="s">
        <v>355</v>
      </c>
      <c r="C150" s="2" t="s">
        <v>43</v>
      </c>
      <c r="D150" s="2" t="s">
        <v>56</v>
      </c>
      <c r="E150" s="2">
        <v>3</v>
      </c>
      <c r="F150" s="2">
        <v>26</v>
      </c>
      <c r="G150" s="2">
        <v>28</v>
      </c>
      <c r="H150" s="2">
        <v>175</v>
      </c>
      <c r="I150" s="2">
        <v>108</v>
      </c>
      <c r="J150" s="2">
        <v>17</v>
      </c>
      <c r="K150" s="3" t="s">
        <v>37</v>
      </c>
      <c r="L150" s="6">
        <f t="shared" si="17"/>
        <v>0.6171428571428571</v>
      </c>
      <c r="M150" s="6">
        <f t="shared" si="18"/>
        <v>1.0769230769230769</v>
      </c>
      <c r="N150" t="str">
        <f t="shared" si="19"/>
        <v>Medium</v>
      </c>
      <c r="O150" t="str">
        <f t="shared" si="20"/>
        <v>Meets Expectations</v>
      </c>
      <c r="P150" t="str">
        <f t="shared" si="21"/>
        <v>High Productivity</v>
      </c>
      <c r="Q150" t="str">
        <f t="shared" si="23"/>
        <v>Arjun Mehta</v>
      </c>
      <c r="R150" s="13">
        <f>DATE(2026,MOD(ROW()-2,12)+1,1)</f>
        <v>46143</v>
      </c>
    </row>
    <row r="151" spans="1:18">
      <c r="A151" s="2" t="s">
        <v>356</v>
      </c>
      <c r="B151" s="2" t="s">
        <v>357</v>
      </c>
      <c r="C151" s="2" t="s">
        <v>32</v>
      </c>
      <c r="D151" s="2" t="s">
        <v>123</v>
      </c>
      <c r="E151" s="2">
        <v>3</v>
      </c>
      <c r="F151" s="2">
        <v>8</v>
      </c>
      <c r="G151" s="2">
        <v>6</v>
      </c>
      <c r="H151" s="2">
        <v>191</v>
      </c>
      <c r="I151" s="2">
        <v>70</v>
      </c>
      <c r="J151" s="2">
        <v>6</v>
      </c>
      <c r="K151" s="3" t="s">
        <v>84</v>
      </c>
      <c r="L151" s="6">
        <f t="shared" si="17"/>
        <v>0.36649214659685864</v>
      </c>
      <c r="M151" s="6">
        <f t="shared" si="18"/>
        <v>0.75</v>
      </c>
      <c r="N151" t="str">
        <f t="shared" si="19"/>
        <v>Low</v>
      </c>
      <c r="O151" t="str">
        <f t="shared" si="20"/>
        <v>Meets Expectations</v>
      </c>
      <c r="P151" t="str">
        <f t="shared" si="21"/>
        <v>Medium Productivity</v>
      </c>
      <c r="Q151" t="str">
        <f>IF(C151="Sales","Arjun Mehta",IF(C151="Marketing","Priya Nair",IF(C151="Finance","Rahul Sharma",IF(C151="HR","Ananya Iyer",IF(C151="Operations","Vikram Rao",IF(C151="IT","Karthik Menon",IF(C151="Product","Neha Kapoor","Rohan Verma")))))))</f>
        <v>Ananya Iyer</v>
      </c>
      <c r="R151" s="13">
        <f t="shared" ref="R151:R214" si="24">DATE(2026,MOD(ROW()-2,12)+1,1)</f>
        <v>46174</v>
      </c>
    </row>
    <row r="152" spans="1:18" ht="28.8">
      <c r="A152" s="2" t="s">
        <v>358</v>
      </c>
      <c r="B152" s="2" t="s">
        <v>359</v>
      </c>
      <c r="C152" s="2" t="s">
        <v>48</v>
      </c>
      <c r="D152" s="2" t="s">
        <v>75</v>
      </c>
      <c r="E152" s="2">
        <v>2</v>
      </c>
      <c r="F152" s="2">
        <v>28</v>
      </c>
      <c r="G152" s="2">
        <v>20</v>
      </c>
      <c r="H152" s="2">
        <v>188</v>
      </c>
      <c r="I152" s="2">
        <v>116</v>
      </c>
      <c r="J152" s="2">
        <v>22</v>
      </c>
      <c r="K152" s="3" t="s">
        <v>194</v>
      </c>
      <c r="L152" s="6">
        <f t="shared" si="17"/>
        <v>0.61702127659574468</v>
      </c>
      <c r="M152" s="6">
        <f t="shared" si="18"/>
        <v>0.7142857142857143</v>
      </c>
      <c r="N152" t="str">
        <f t="shared" si="19"/>
        <v>High</v>
      </c>
      <c r="O152" t="str">
        <f t="shared" si="20"/>
        <v>Needs Improvement</v>
      </c>
      <c r="P152" t="str">
        <f t="shared" si="21"/>
        <v>Medium Productivity</v>
      </c>
      <c r="Q152" t="str">
        <f t="shared" ref="Q152:Q168" si="25">IF(C152="Sales","Arjun Mehta",IF(C152="Marketing","Priya Nair",IF(C152="Finance","Rahul Sharma",IF(C152="HR","Ananya Iyer",IF(C152="Operations","Vikram Rao",IF(C152="IT","Karthik Menon",IF(C152="Product","Neha Kapoor","Rohan Verma")))))))</f>
        <v>Priya Nair</v>
      </c>
      <c r="R152" s="13">
        <f t="shared" si="24"/>
        <v>46204</v>
      </c>
    </row>
    <row r="153" spans="1:18">
      <c r="A153" s="2" t="s">
        <v>360</v>
      </c>
      <c r="B153" s="2" t="s">
        <v>361</v>
      </c>
      <c r="C153" s="2" t="s">
        <v>48</v>
      </c>
      <c r="D153" s="2" t="s">
        <v>75</v>
      </c>
      <c r="E153" s="2">
        <v>4</v>
      </c>
      <c r="F153" s="2">
        <v>26</v>
      </c>
      <c r="G153" s="2">
        <v>25</v>
      </c>
      <c r="H153" s="2">
        <v>189</v>
      </c>
      <c r="I153" s="2">
        <v>91</v>
      </c>
      <c r="J153" s="2">
        <v>15</v>
      </c>
      <c r="K153" s="3" t="s">
        <v>24</v>
      </c>
      <c r="L153" s="6">
        <f t="shared" si="17"/>
        <v>0.48148148148148145</v>
      </c>
      <c r="M153" s="6">
        <f t="shared" si="18"/>
        <v>0.96153846153846156</v>
      </c>
      <c r="N153" t="str">
        <f t="shared" si="19"/>
        <v>Medium</v>
      </c>
      <c r="O153" t="str">
        <f t="shared" si="20"/>
        <v>Meets Expectations</v>
      </c>
      <c r="P153" t="str">
        <f t="shared" si="21"/>
        <v>High Productivity</v>
      </c>
      <c r="Q153" t="str">
        <f t="shared" si="25"/>
        <v>Priya Nair</v>
      </c>
      <c r="R153" s="13">
        <f t="shared" si="24"/>
        <v>46235</v>
      </c>
    </row>
    <row r="154" spans="1:18">
      <c r="A154" s="2" t="s">
        <v>362</v>
      </c>
      <c r="B154" s="2" t="s">
        <v>363</v>
      </c>
      <c r="C154" s="2" t="s">
        <v>13</v>
      </c>
      <c r="D154" s="2" t="s">
        <v>14</v>
      </c>
      <c r="E154" s="2">
        <v>2</v>
      </c>
      <c r="F154" s="2">
        <v>23</v>
      </c>
      <c r="G154" s="2">
        <v>15</v>
      </c>
      <c r="H154" s="2">
        <v>169</v>
      </c>
      <c r="I154" s="2">
        <v>88</v>
      </c>
      <c r="J154" s="2">
        <v>17</v>
      </c>
      <c r="K154" s="3" t="s">
        <v>15</v>
      </c>
      <c r="L154" s="6">
        <f t="shared" si="17"/>
        <v>0.52071005917159763</v>
      </c>
      <c r="M154" s="6">
        <f t="shared" si="18"/>
        <v>0.65217391304347827</v>
      </c>
      <c r="N154" t="str">
        <f t="shared" si="19"/>
        <v>Medium</v>
      </c>
      <c r="O154" t="str">
        <f t="shared" si="20"/>
        <v>Needs Improvement</v>
      </c>
      <c r="P154" t="str">
        <f t="shared" si="21"/>
        <v>Medium Productivity</v>
      </c>
      <c r="Q154" t="str">
        <f t="shared" si="25"/>
        <v>Neha Kapoor</v>
      </c>
      <c r="R154" s="13">
        <f t="shared" si="24"/>
        <v>46266</v>
      </c>
    </row>
    <row r="155" spans="1:18" ht="28.8">
      <c r="A155" s="2" t="s">
        <v>364</v>
      </c>
      <c r="B155" s="2" t="s">
        <v>365</v>
      </c>
      <c r="C155" s="2" t="s">
        <v>18</v>
      </c>
      <c r="D155" s="2" t="s">
        <v>19</v>
      </c>
      <c r="E155" s="2">
        <v>2</v>
      </c>
      <c r="F155" s="2">
        <v>16</v>
      </c>
      <c r="G155" s="2">
        <v>10</v>
      </c>
      <c r="H155" s="2">
        <v>174</v>
      </c>
      <c r="I155" s="2">
        <v>100</v>
      </c>
      <c r="J155" s="2">
        <v>20</v>
      </c>
      <c r="K155" s="3" t="s">
        <v>194</v>
      </c>
      <c r="L155" s="6">
        <f t="shared" si="17"/>
        <v>0.57471264367816088</v>
      </c>
      <c r="M155" s="6">
        <f t="shared" si="18"/>
        <v>0.625</v>
      </c>
      <c r="N155" t="str">
        <f t="shared" si="19"/>
        <v>Medium</v>
      </c>
      <c r="O155" t="str">
        <f t="shared" si="20"/>
        <v>Needs Improvement</v>
      </c>
      <c r="P155" t="str">
        <f t="shared" si="21"/>
        <v>Medium Productivity</v>
      </c>
      <c r="Q155" t="str">
        <f t="shared" si="25"/>
        <v>Karthik Menon</v>
      </c>
      <c r="R155" s="13">
        <f t="shared" si="24"/>
        <v>46296</v>
      </c>
    </row>
    <row r="156" spans="1:18">
      <c r="A156" s="2" t="s">
        <v>366</v>
      </c>
      <c r="B156" s="2" t="s">
        <v>367</v>
      </c>
      <c r="C156" s="2" t="s">
        <v>59</v>
      </c>
      <c r="D156" s="2" t="s">
        <v>60</v>
      </c>
      <c r="E156" s="2">
        <v>2</v>
      </c>
      <c r="F156" s="2">
        <v>10</v>
      </c>
      <c r="G156" s="2">
        <v>6</v>
      </c>
      <c r="H156" s="2">
        <v>178</v>
      </c>
      <c r="I156" s="2">
        <v>90</v>
      </c>
      <c r="J156" s="2">
        <v>15</v>
      </c>
      <c r="K156" s="3" t="s">
        <v>15</v>
      </c>
      <c r="L156" s="6">
        <f t="shared" si="17"/>
        <v>0.5056179775280899</v>
      </c>
      <c r="M156" s="6">
        <f t="shared" si="18"/>
        <v>0.6</v>
      </c>
      <c r="N156" t="str">
        <f t="shared" si="19"/>
        <v>Medium</v>
      </c>
      <c r="O156" t="str">
        <f t="shared" si="20"/>
        <v>Needs Improvement</v>
      </c>
      <c r="P156" t="str">
        <f t="shared" si="21"/>
        <v>Medium Productivity</v>
      </c>
      <c r="Q156" t="str">
        <f t="shared" si="25"/>
        <v>Rahul Sharma</v>
      </c>
      <c r="R156" s="13">
        <f t="shared" si="24"/>
        <v>46327</v>
      </c>
    </row>
    <row r="157" spans="1:18">
      <c r="A157" s="2" t="s">
        <v>368</v>
      </c>
      <c r="B157" s="2" t="s">
        <v>369</v>
      </c>
      <c r="C157" s="2" t="s">
        <v>48</v>
      </c>
      <c r="D157" s="2" t="s">
        <v>113</v>
      </c>
      <c r="E157" s="2">
        <v>4</v>
      </c>
      <c r="F157" s="2">
        <v>16</v>
      </c>
      <c r="G157" s="2">
        <v>13</v>
      </c>
      <c r="H157" s="2">
        <v>155</v>
      </c>
      <c r="I157" s="2">
        <v>80</v>
      </c>
      <c r="J157" s="2">
        <v>14</v>
      </c>
      <c r="K157" s="3" t="s">
        <v>34</v>
      </c>
      <c r="L157" s="6">
        <f t="shared" si="17"/>
        <v>0.5161290322580645</v>
      </c>
      <c r="M157" s="6">
        <f t="shared" si="18"/>
        <v>0.8125</v>
      </c>
      <c r="N157" t="str">
        <f t="shared" si="19"/>
        <v>Medium</v>
      </c>
      <c r="O157" t="str">
        <f t="shared" si="20"/>
        <v>Meets Expectations</v>
      </c>
      <c r="P157" t="str">
        <f t="shared" si="21"/>
        <v>Medium Productivity</v>
      </c>
      <c r="Q157" t="str">
        <f t="shared" si="25"/>
        <v>Priya Nair</v>
      </c>
      <c r="R157" s="13">
        <f t="shared" si="24"/>
        <v>46357</v>
      </c>
    </row>
    <row r="158" spans="1:18">
      <c r="A158" s="2" t="s">
        <v>370</v>
      </c>
      <c r="B158" s="2" t="s">
        <v>371</v>
      </c>
      <c r="C158" s="2" t="s">
        <v>27</v>
      </c>
      <c r="D158" s="2" t="s">
        <v>128</v>
      </c>
      <c r="E158" s="2">
        <v>3</v>
      </c>
      <c r="F158" s="2">
        <v>11</v>
      </c>
      <c r="G158" s="2">
        <v>11</v>
      </c>
      <c r="H158" s="2">
        <v>182</v>
      </c>
      <c r="I158" s="2">
        <v>99</v>
      </c>
      <c r="J158" s="2">
        <v>4</v>
      </c>
      <c r="K158" s="3" t="s">
        <v>84</v>
      </c>
      <c r="L158" s="6">
        <f t="shared" si="17"/>
        <v>0.54395604395604391</v>
      </c>
      <c r="M158" s="6">
        <f t="shared" si="18"/>
        <v>1</v>
      </c>
      <c r="N158" t="str">
        <f t="shared" si="19"/>
        <v>Low</v>
      </c>
      <c r="O158" t="str">
        <f t="shared" si="20"/>
        <v>Meets Expectations</v>
      </c>
      <c r="P158" t="str">
        <f t="shared" si="21"/>
        <v>High Productivity</v>
      </c>
      <c r="Q158" t="str">
        <f t="shared" si="25"/>
        <v>Vikram Rao</v>
      </c>
      <c r="R158" s="13">
        <f t="shared" si="24"/>
        <v>46023</v>
      </c>
    </row>
    <row r="159" spans="1:18">
      <c r="A159" s="2" t="s">
        <v>372</v>
      </c>
      <c r="B159" s="2" t="s">
        <v>373</v>
      </c>
      <c r="C159" s="2" t="s">
        <v>27</v>
      </c>
      <c r="D159" s="2" t="s">
        <v>128</v>
      </c>
      <c r="E159" s="2">
        <v>4</v>
      </c>
      <c r="F159" s="2">
        <v>24</v>
      </c>
      <c r="G159" s="2">
        <v>24</v>
      </c>
      <c r="H159" s="2">
        <v>165</v>
      </c>
      <c r="I159" s="2">
        <v>124</v>
      </c>
      <c r="J159" s="2">
        <v>3</v>
      </c>
      <c r="K159" s="3" t="s">
        <v>34</v>
      </c>
      <c r="L159" s="6">
        <f t="shared" si="17"/>
        <v>0.75151515151515147</v>
      </c>
      <c r="M159" s="6">
        <f t="shared" si="18"/>
        <v>1</v>
      </c>
      <c r="N159" t="str">
        <f t="shared" si="19"/>
        <v>Low</v>
      </c>
      <c r="O159" t="str">
        <f t="shared" si="20"/>
        <v>Meets Expectations</v>
      </c>
      <c r="P159" t="str">
        <f t="shared" si="21"/>
        <v>High Productivity</v>
      </c>
      <c r="Q159" t="str">
        <f t="shared" si="25"/>
        <v>Vikram Rao</v>
      </c>
      <c r="R159" s="13">
        <f t="shared" si="24"/>
        <v>46054</v>
      </c>
    </row>
    <row r="160" spans="1:18" ht="28.8">
      <c r="A160" s="2" t="s">
        <v>374</v>
      </c>
      <c r="B160" s="2" t="s">
        <v>375</v>
      </c>
      <c r="C160" s="2" t="s">
        <v>32</v>
      </c>
      <c r="D160" s="2" t="s">
        <v>67</v>
      </c>
      <c r="E160" s="2">
        <v>5</v>
      </c>
      <c r="F160" s="2">
        <v>14</v>
      </c>
      <c r="G160" s="2">
        <v>14</v>
      </c>
      <c r="H160" s="2">
        <v>174</v>
      </c>
      <c r="I160" s="2">
        <v>43</v>
      </c>
      <c r="J160" s="2">
        <v>9</v>
      </c>
      <c r="K160" s="3" t="s">
        <v>61</v>
      </c>
      <c r="L160" s="6">
        <f t="shared" si="17"/>
        <v>0.2471264367816092</v>
      </c>
      <c r="M160" s="6">
        <f t="shared" si="18"/>
        <v>1</v>
      </c>
      <c r="N160" t="str">
        <f t="shared" si="19"/>
        <v>Low</v>
      </c>
      <c r="O160" t="str">
        <f t="shared" si="20"/>
        <v>Meets Expectations</v>
      </c>
      <c r="P160" t="str">
        <f t="shared" si="21"/>
        <v>High Productivity</v>
      </c>
      <c r="Q160" t="str">
        <f t="shared" si="25"/>
        <v>Ananya Iyer</v>
      </c>
      <c r="R160" s="13">
        <f t="shared" si="24"/>
        <v>46082</v>
      </c>
    </row>
    <row r="161" spans="1:18" ht="28.8">
      <c r="A161" s="2" t="s">
        <v>376</v>
      </c>
      <c r="B161" s="2" t="s">
        <v>377</v>
      </c>
      <c r="C161" s="2" t="s">
        <v>13</v>
      </c>
      <c r="D161" s="2" t="s">
        <v>120</v>
      </c>
      <c r="E161" s="2">
        <v>3</v>
      </c>
      <c r="F161" s="2">
        <v>18</v>
      </c>
      <c r="G161" s="2">
        <v>14</v>
      </c>
      <c r="H161" s="2">
        <v>179</v>
      </c>
      <c r="I161" s="2">
        <v>79</v>
      </c>
      <c r="J161" s="2">
        <v>14</v>
      </c>
      <c r="K161" s="3" t="s">
        <v>37</v>
      </c>
      <c r="L161" s="6">
        <f t="shared" si="17"/>
        <v>0.44134078212290501</v>
      </c>
      <c r="M161" s="6">
        <f t="shared" si="18"/>
        <v>0.77777777777777779</v>
      </c>
      <c r="N161" t="str">
        <f t="shared" si="19"/>
        <v>Medium</v>
      </c>
      <c r="O161" t="str">
        <f t="shared" si="20"/>
        <v>Meets Expectations</v>
      </c>
      <c r="P161" t="str">
        <f t="shared" si="21"/>
        <v>Medium Productivity</v>
      </c>
      <c r="Q161" t="str">
        <f t="shared" si="25"/>
        <v>Neha Kapoor</v>
      </c>
      <c r="R161" s="13">
        <f t="shared" si="24"/>
        <v>46113</v>
      </c>
    </row>
    <row r="162" spans="1:18">
      <c r="A162" s="2" t="s">
        <v>378</v>
      </c>
      <c r="B162" s="2" t="s">
        <v>379</v>
      </c>
      <c r="C162" s="2" t="s">
        <v>59</v>
      </c>
      <c r="D162" s="2" t="s">
        <v>101</v>
      </c>
      <c r="E162" s="2">
        <v>1</v>
      </c>
      <c r="F162" s="2">
        <v>8</v>
      </c>
      <c r="G162" s="2">
        <v>4</v>
      </c>
      <c r="H162" s="2">
        <v>180</v>
      </c>
      <c r="I162" s="2">
        <v>74</v>
      </c>
      <c r="J162" s="2">
        <v>17</v>
      </c>
      <c r="K162" s="3" t="s">
        <v>250</v>
      </c>
      <c r="L162" s="6">
        <f t="shared" si="17"/>
        <v>0.41111111111111109</v>
      </c>
      <c r="M162" s="6">
        <f t="shared" si="18"/>
        <v>0.5</v>
      </c>
      <c r="N162" t="str">
        <f t="shared" si="19"/>
        <v>Medium</v>
      </c>
      <c r="O162" t="str">
        <f t="shared" si="20"/>
        <v>Needs Improvement</v>
      </c>
      <c r="P162" t="str">
        <f t="shared" si="21"/>
        <v>Low Productivity</v>
      </c>
      <c r="Q162" t="str">
        <f t="shared" si="25"/>
        <v>Rahul Sharma</v>
      </c>
      <c r="R162" s="13">
        <f t="shared" si="24"/>
        <v>46143</v>
      </c>
    </row>
    <row r="163" spans="1:18">
      <c r="A163" s="2" t="s">
        <v>380</v>
      </c>
      <c r="B163" s="2" t="s">
        <v>381</v>
      </c>
      <c r="C163" s="2" t="s">
        <v>48</v>
      </c>
      <c r="D163" s="2" t="s">
        <v>49</v>
      </c>
      <c r="E163" s="2">
        <v>3</v>
      </c>
      <c r="F163" s="2">
        <v>27</v>
      </c>
      <c r="G163" s="2">
        <v>17</v>
      </c>
      <c r="H163" s="2">
        <v>179</v>
      </c>
      <c r="I163" s="2">
        <v>85</v>
      </c>
      <c r="J163" s="2">
        <v>14</v>
      </c>
      <c r="K163" s="3" t="s">
        <v>84</v>
      </c>
      <c r="L163" s="6">
        <f t="shared" si="17"/>
        <v>0.47486033519553073</v>
      </c>
      <c r="M163" s="6">
        <f t="shared" si="18"/>
        <v>0.62962962962962965</v>
      </c>
      <c r="N163" t="str">
        <f t="shared" si="19"/>
        <v>Medium</v>
      </c>
      <c r="O163" t="str">
        <f t="shared" si="20"/>
        <v>Meets Expectations</v>
      </c>
      <c r="P163" t="str">
        <f t="shared" si="21"/>
        <v>Medium Productivity</v>
      </c>
      <c r="Q163" t="str">
        <f t="shared" si="25"/>
        <v>Priya Nair</v>
      </c>
      <c r="R163" s="13">
        <f t="shared" si="24"/>
        <v>46174</v>
      </c>
    </row>
    <row r="164" spans="1:18">
      <c r="A164" s="2" t="s">
        <v>382</v>
      </c>
      <c r="B164" s="2" t="s">
        <v>383</v>
      </c>
      <c r="C164" s="2" t="s">
        <v>32</v>
      </c>
      <c r="D164" s="2" t="s">
        <v>123</v>
      </c>
      <c r="E164" s="2">
        <v>3</v>
      </c>
      <c r="F164" s="2">
        <v>13</v>
      </c>
      <c r="G164" s="2">
        <v>12</v>
      </c>
      <c r="H164" s="2">
        <v>193</v>
      </c>
      <c r="I164" s="2">
        <v>80</v>
      </c>
      <c r="J164" s="2">
        <v>9</v>
      </c>
      <c r="K164" s="3" t="s">
        <v>84</v>
      </c>
      <c r="L164" s="6">
        <f t="shared" si="17"/>
        <v>0.41450777202072536</v>
      </c>
      <c r="M164" s="6">
        <f t="shared" si="18"/>
        <v>0.92307692307692313</v>
      </c>
      <c r="N164" t="str">
        <f t="shared" si="19"/>
        <v>Low</v>
      </c>
      <c r="O164" t="str">
        <f t="shared" si="20"/>
        <v>Meets Expectations</v>
      </c>
      <c r="P164" t="str">
        <f t="shared" si="21"/>
        <v>High Productivity</v>
      </c>
      <c r="Q164" t="str">
        <f t="shared" si="25"/>
        <v>Ananya Iyer</v>
      </c>
      <c r="R164" s="13">
        <f t="shared" si="24"/>
        <v>46204</v>
      </c>
    </row>
    <row r="165" spans="1:18">
      <c r="A165" s="2" t="s">
        <v>384</v>
      </c>
      <c r="B165" s="2" t="s">
        <v>385</v>
      </c>
      <c r="C165" s="2" t="s">
        <v>13</v>
      </c>
      <c r="D165" s="2" t="s">
        <v>120</v>
      </c>
      <c r="E165" s="2">
        <v>3</v>
      </c>
      <c r="F165" s="2">
        <v>22</v>
      </c>
      <c r="G165" s="2">
        <v>18</v>
      </c>
      <c r="H165" s="2">
        <v>169</v>
      </c>
      <c r="I165" s="2">
        <v>94</v>
      </c>
      <c r="J165" s="2">
        <v>8</v>
      </c>
      <c r="K165" s="3" t="s">
        <v>84</v>
      </c>
      <c r="L165" s="6">
        <f t="shared" si="17"/>
        <v>0.55621301775147924</v>
      </c>
      <c r="M165" s="6">
        <f t="shared" si="18"/>
        <v>0.81818181818181823</v>
      </c>
      <c r="N165" t="str">
        <f t="shared" si="19"/>
        <v>Low</v>
      </c>
      <c r="O165" t="str">
        <f t="shared" si="20"/>
        <v>Meets Expectations</v>
      </c>
      <c r="P165" t="str">
        <f t="shared" si="21"/>
        <v>Medium Productivity</v>
      </c>
      <c r="Q165" t="str">
        <f t="shared" si="25"/>
        <v>Neha Kapoor</v>
      </c>
      <c r="R165" s="13">
        <f t="shared" si="24"/>
        <v>46235</v>
      </c>
    </row>
    <row r="166" spans="1:18" ht="28.8">
      <c r="A166" s="2" t="s">
        <v>386</v>
      </c>
      <c r="B166" s="2" t="s">
        <v>387</v>
      </c>
      <c r="C166" s="2" t="s">
        <v>18</v>
      </c>
      <c r="D166" s="2" t="s">
        <v>19</v>
      </c>
      <c r="E166" s="2">
        <v>5</v>
      </c>
      <c r="F166" s="2">
        <v>14</v>
      </c>
      <c r="G166" s="2">
        <v>15</v>
      </c>
      <c r="H166" s="2">
        <v>163</v>
      </c>
      <c r="I166" s="2">
        <v>99</v>
      </c>
      <c r="J166" s="2">
        <v>16</v>
      </c>
      <c r="K166" s="3" t="s">
        <v>89</v>
      </c>
      <c r="L166" s="6">
        <f t="shared" si="17"/>
        <v>0.6073619631901841</v>
      </c>
      <c r="M166" s="6">
        <f t="shared" si="18"/>
        <v>1.0714285714285714</v>
      </c>
      <c r="N166" t="str">
        <f t="shared" si="19"/>
        <v>Medium</v>
      </c>
      <c r="O166" t="str">
        <f t="shared" si="20"/>
        <v>Meets Expectations</v>
      </c>
      <c r="P166" t="str">
        <f t="shared" si="21"/>
        <v>High Productivity</v>
      </c>
      <c r="Q166" t="str">
        <f t="shared" si="25"/>
        <v>Karthik Menon</v>
      </c>
      <c r="R166" s="13">
        <f t="shared" si="24"/>
        <v>46266</v>
      </c>
    </row>
    <row r="167" spans="1:18">
      <c r="A167" s="2" t="s">
        <v>388</v>
      </c>
      <c r="B167" s="2" t="s">
        <v>389</v>
      </c>
      <c r="C167" s="2" t="s">
        <v>52</v>
      </c>
      <c r="D167" s="2" t="s">
        <v>81</v>
      </c>
      <c r="E167" s="2">
        <v>1</v>
      </c>
      <c r="F167" s="2">
        <v>13</v>
      </c>
      <c r="G167" s="2">
        <v>5</v>
      </c>
      <c r="H167" s="2">
        <v>183</v>
      </c>
      <c r="I167" s="2">
        <v>100</v>
      </c>
      <c r="J167" s="2">
        <v>17</v>
      </c>
      <c r="K167" s="3" t="s">
        <v>78</v>
      </c>
      <c r="L167" s="6">
        <f t="shared" si="17"/>
        <v>0.54644808743169404</v>
      </c>
      <c r="M167" s="6">
        <f t="shared" si="18"/>
        <v>0.38461538461538464</v>
      </c>
      <c r="N167" t="str">
        <f t="shared" si="19"/>
        <v>Medium</v>
      </c>
      <c r="O167" t="str">
        <f t="shared" si="20"/>
        <v>Needs Improvement</v>
      </c>
      <c r="P167" t="str">
        <f t="shared" si="21"/>
        <v>Low Productivity</v>
      </c>
      <c r="Q167" t="str">
        <f>IF(C167="Sales","Arjun Mehta",IF(C167="Marketing","Priya Nair",IF(C167="Finance","Rahul Sharma",IF(C167="HR","Ananya Iyer",IF(C167="Operations","Vikram Rao",IF(C167="IT","Karthik Menon",IF(C167="Product","Neha Kapoor","Rohan Verma")))))))</f>
        <v>Rohan Verma</v>
      </c>
      <c r="R167" s="13">
        <f t="shared" si="24"/>
        <v>46296</v>
      </c>
    </row>
    <row r="168" spans="1:18" ht="28.8">
      <c r="A168" s="2" t="s">
        <v>390</v>
      </c>
      <c r="B168" s="2" t="s">
        <v>391</v>
      </c>
      <c r="C168" s="2" t="s">
        <v>32</v>
      </c>
      <c r="D168" s="2" t="s">
        <v>33</v>
      </c>
      <c r="E168" s="2">
        <v>1</v>
      </c>
      <c r="F168" s="2">
        <v>20</v>
      </c>
      <c r="G168" s="2">
        <v>10</v>
      </c>
      <c r="H168" s="2">
        <v>183</v>
      </c>
      <c r="I168" s="2">
        <v>67</v>
      </c>
      <c r="J168" s="2">
        <v>12</v>
      </c>
      <c r="K168" s="3" t="s">
        <v>315</v>
      </c>
      <c r="L168" s="6">
        <f t="shared" si="17"/>
        <v>0.36612021857923499</v>
      </c>
      <c r="M168" s="6">
        <f t="shared" si="18"/>
        <v>0.5</v>
      </c>
      <c r="N168" t="str">
        <f t="shared" si="19"/>
        <v>Medium</v>
      </c>
      <c r="O168" t="str">
        <f t="shared" si="20"/>
        <v>Needs Improvement</v>
      </c>
      <c r="P168" t="str">
        <f t="shared" si="21"/>
        <v>Low Productivity</v>
      </c>
      <c r="Q168" t="str">
        <f t="shared" si="25"/>
        <v>Ananya Iyer</v>
      </c>
      <c r="R168" s="13">
        <f t="shared" si="24"/>
        <v>46327</v>
      </c>
    </row>
    <row r="169" spans="1:18">
      <c r="A169" s="2" t="s">
        <v>392</v>
      </c>
      <c r="B169" s="2" t="s">
        <v>393</v>
      </c>
      <c r="C169" s="2" t="s">
        <v>52</v>
      </c>
      <c r="D169" s="2" t="s">
        <v>173</v>
      </c>
      <c r="E169" s="2">
        <v>4</v>
      </c>
      <c r="F169" s="2">
        <v>26</v>
      </c>
      <c r="G169" s="2">
        <v>27</v>
      </c>
      <c r="H169" s="2">
        <v>182</v>
      </c>
      <c r="I169" s="2">
        <v>133</v>
      </c>
      <c r="J169" s="2">
        <v>11</v>
      </c>
      <c r="K169" s="3" t="s">
        <v>34</v>
      </c>
      <c r="L169" s="6">
        <f t="shared" si="17"/>
        <v>0.73076923076923073</v>
      </c>
      <c r="M169" s="6">
        <f t="shared" si="18"/>
        <v>1.0384615384615385</v>
      </c>
      <c r="N169" t="str">
        <f t="shared" si="19"/>
        <v>Medium</v>
      </c>
      <c r="O169" t="str">
        <f t="shared" si="20"/>
        <v>Meets Expectations</v>
      </c>
      <c r="P169" t="str">
        <f t="shared" si="21"/>
        <v>High Productivity</v>
      </c>
      <c r="Q169" t="str">
        <f>IF(C169="Sales","Arjun Mehta",IF(C169="Marketing","Priya Nair",IF(C169="Finance","Rahul Sharma",IF(C169="HR","Ananya Iyer",IF(C169="Operations","Vikram Rao",IF(C169="IT","Karthik Menon",IF(C169="Product","Neha Kapoor","Rohan Verma")))))))</f>
        <v>Rohan Verma</v>
      </c>
      <c r="R169" s="13">
        <f t="shared" si="24"/>
        <v>46357</v>
      </c>
    </row>
    <row r="170" spans="1:18" ht="28.8">
      <c r="A170" s="2" t="s">
        <v>394</v>
      </c>
      <c r="B170" s="2" t="s">
        <v>395</v>
      </c>
      <c r="C170" s="2" t="s">
        <v>48</v>
      </c>
      <c r="D170" s="2" t="s">
        <v>113</v>
      </c>
      <c r="E170" s="2">
        <v>4</v>
      </c>
      <c r="F170" s="2">
        <v>26</v>
      </c>
      <c r="G170" s="2">
        <v>23</v>
      </c>
      <c r="H170" s="2">
        <v>176</v>
      </c>
      <c r="I170" s="2">
        <v>90</v>
      </c>
      <c r="J170" s="2">
        <v>11</v>
      </c>
      <c r="K170" s="3" t="s">
        <v>40</v>
      </c>
      <c r="L170" s="6">
        <f t="shared" si="17"/>
        <v>0.51136363636363635</v>
      </c>
      <c r="M170" s="6">
        <f t="shared" si="18"/>
        <v>0.88461538461538458</v>
      </c>
      <c r="N170" t="str">
        <f t="shared" si="19"/>
        <v>Medium</v>
      </c>
      <c r="O170" t="str">
        <f t="shared" si="20"/>
        <v>Meets Expectations</v>
      </c>
      <c r="P170" t="str">
        <f t="shared" si="21"/>
        <v>Medium Productivity</v>
      </c>
      <c r="Q170" t="str">
        <f t="shared" ref="Q170:Q183" si="26">IF(C170="Sales","Arjun Mehta",IF(C170="Marketing","Priya Nair",IF(C170="Finance","Rahul Sharma",IF(C170="HR","Ananya Iyer",IF(C170="Operations","Vikram Rao",IF(C170="IT","Karthik Menon",IF(C170="Product","Neha Kapoor","Rohan Verma")))))))</f>
        <v>Priya Nair</v>
      </c>
      <c r="R170" s="13">
        <f t="shared" si="24"/>
        <v>46023</v>
      </c>
    </row>
    <row r="171" spans="1:18" ht="28.8">
      <c r="A171" s="2" t="s">
        <v>396</v>
      </c>
      <c r="B171" s="2" t="s">
        <v>397</v>
      </c>
      <c r="C171" s="2" t="s">
        <v>43</v>
      </c>
      <c r="D171" s="2" t="s">
        <v>44</v>
      </c>
      <c r="E171" s="2">
        <v>5</v>
      </c>
      <c r="F171" s="2">
        <v>25</v>
      </c>
      <c r="G171" s="2">
        <v>30</v>
      </c>
      <c r="H171" s="2">
        <v>159</v>
      </c>
      <c r="I171" s="2">
        <v>96</v>
      </c>
      <c r="J171" s="2">
        <v>6</v>
      </c>
      <c r="K171" s="3" t="s">
        <v>89</v>
      </c>
      <c r="L171" s="6">
        <f t="shared" si="17"/>
        <v>0.60377358490566035</v>
      </c>
      <c r="M171" s="6">
        <f t="shared" si="18"/>
        <v>1.2</v>
      </c>
      <c r="N171" t="str">
        <f t="shared" si="19"/>
        <v>Low</v>
      </c>
      <c r="O171" t="str">
        <f t="shared" si="20"/>
        <v>Meets Expectations</v>
      </c>
      <c r="P171" t="str">
        <f t="shared" si="21"/>
        <v>High Productivity</v>
      </c>
      <c r="Q171" t="str">
        <f t="shared" si="26"/>
        <v>Arjun Mehta</v>
      </c>
      <c r="R171" s="13">
        <f t="shared" si="24"/>
        <v>46054</v>
      </c>
    </row>
    <row r="172" spans="1:18">
      <c r="A172" s="2" t="s">
        <v>398</v>
      </c>
      <c r="B172" s="2" t="s">
        <v>399</v>
      </c>
      <c r="C172" s="2" t="s">
        <v>52</v>
      </c>
      <c r="D172" s="2" t="s">
        <v>173</v>
      </c>
      <c r="E172" s="2">
        <v>3</v>
      </c>
      <c r="F172" s="2">
        <v>12</v>
      </c>
      <c r="G172" s="2">
        <v>11</v>
      </c>
      <c r="H172" s="2">
        <v>172</v>
      </c>
      <c r="I172" s="2">
        <v>128</v>
      </c>
      <c r="J172" s="2">
        <v>15</v>
      </c>
      <c r="K172" s="3" t="s">
        <v>45</v>
      </c>
      <c r="L172" s="6">
        <f t="shared" si="17"/>
        <v>0.7441860465116279</v>
      </c>
      <c r="M172" s="6">
        <f t="shared" si="18"/>
        <v>0.91666666666666663</v>
      </c>
      <c r="N172" t="str">
        <f t="shared" si="19"/>
        <v>Medium</v>
      </c>
      <c r="O172" t="str">
        <f t="shared" si="20"/>
        <v>Meets Expectations</v>
      </c>
      <c r="P172" t="str">
        <f t="shared" si="21"/>
        <v>High Productivity</v>
      </c>
      <c r="Q172" t="str">
        <f t="shared" si="26"/>
        <v>Rohan Verma</v>
      </c>
      <c r="R172" s="13">
        <f t="shared" si="24"/>
        <v>46082</v>
      </c>
    </row>
    <row r="173" spans="1:18">
      <c r="A173" s="2" t="s">
        <v>400</v>
      </c>
      <c r="B173" s="2" t="s">
        <v>401</v>
      </c>
      <c r="C173" s="2" t="s">
        <v>59</v>
      </c>
      <c r="D173" s="2" t="s">
        <v>72</v>
      </c>
      <c r="E173" s="2">
        <v>3</v>
      </c>
      <c r="F173" s="2">
        <v>11</v>
      </c>
      <c r="G173" s="2">
        <v>10</v>
      </c>
      <c r="H173" s="2">
        <v>183</v>
      </c>
      <c r="I173" s="2">
        <v>87</v>
      </c>
      <c r="J173" s="2">
        <v>12</v>
      </c>
      <c r="K173" s="3" t="s">
        <v>84</v>
      </c>
      <c r="L173" s="6">
        <f t="shared" si="17"/>
        <v>0.47540983606557374</v>
      </c>
      <c r="M173" s="6">
        <f t="shared" si="18"/>
        <v>0.90909090909090906</v>
      </c>
      <c r="N173" t="str">
        <f t="shared" si="19"/>
        <v>Medium</v>
      </c>
      <c r="O173" t="str">
        <f t="shared" si="20"/>
        <v>Meets Expectations</v>
      </c>
      <c r="P173" t="str">
        <f t="shared" si="21"/>
        <v>High Productivity</v>
      </c>
      <c r="Q173" t="str">
        <f t="shared" si="26"/>
        <v>Rahul Sharma</v>
      </c>
      <c r="R173" s="13">
        <f t="shared" si="24"/>
        <v>46113</v>
      </c>
    </row>
    <row r="174" spans="1:18">
      <c r="A174" s="2" t="s">
        <v>402</v>
      </c>
      <c r="B174" s="2" t="s">
        <v>403</v>
      </c>
      <c r="C174" s="2" t="s">
        <v>27</v>
      </c>
      <c r="D174" s="2" t="s">
        <v>104</v>
      </c>
      <c r="E174" s="2">
        <v>3</v>
      </c>
      <c r="F174" s="2">
        <v>23</v>
      </c>
      <c r="G174" s="2">
        <v>19</v>
      </c>
      <c r="H174" s="2">
        <v>176</v>
      </c>
      <c r="I174" s="2">
        <v>93</v>
      </c>
      <c r="J174" s="2">
        <v>4</v>
      </c>
      <c r="K174" s="3" t="s">
        <v>84</v>
      </c>
      <c r="L174" s="6">
        <f t="shared" si="17"/>
        <v>0.52840909090909094</v>
      </c>
      <c r="M174" s="6">
        <f t="shared" si="18"/>
        <v>0.82608695652173914</v>
      </c>
      <c r="N174" t="str">
        <f t="shared" si="19"/>
        <v>Low</v>
      </c>
      <c r="O174" t="str">
        <f t="shared" si="20"/>
        <v>Meets Expectations</v>
      </c>
      <c r="P174" t="str">
        <f t="shared" si="21"/>
        <v>Medium Productivity</v>
      </c>
      <c r="Q174" t="str">
        <f t="shared" si="26"/>
        <v>Vikram Rao</v>
      </c>
      <c r="R174" s="13">
        <f t="shared" si="24"/>
        <v>46143</v>
      </c>
    </row>
    <row r="175" spans="1:18" ht="28.8">
      <c r="A175" s="2" t="s">
        <v>404</v>
      </c>
      <c r="B175" s="2" t="s">
        <v>405</v>
      </c>
      <c r="C175" s="2" t="s">
        <v>13</v>
      </c>
      <c r="D175" s="2" t="s">
        <v>14</v>
      </c>
      <c r="E175" s="2">
        <v>3</v>
      </c>
      <c r="F175" s="2">
        <v>22</v>
      </c>
      <c r="G175" s="2">
        <v>15</v>
      </c>
      <c r="H175" s="2">
        <v>171</v>
      </c>
      <c r="I175" s="2">
        <v>76</v>
      </c>
      <c r="J175" s="2">
        <v>7</v>
      </c>
      <c r="K175" s="3" t="s">
        <v>37</v>
      </c>
      <c r="L175" s="6">
        <f t="shared" si="17"/>
        <v>0.44444444444444442</v>
      </c>
      <c r="M175" s="6">
        <f t="shared" si="18"/>
        <v>0.68181818181818177</v>
      </c>
      <c r="N175" t="str">
        <f t="shared" si="19"/>
        <v>Low</v>
      </c>
      <c r="O175" t="str">
        <f t="shared" si="20"/>
        <v>Meets Expectations</v>
      </c>
      <c r="P175" t="str">
        <f t="shared" si="21"/>
        <v>Medium Productivity</v>
      </c>
      <c r="Q175" t="str">
        <f t="shared" si="26"/>
        <v>Neha Kapoor</v>
      </c>
      <c r="R175" s="13">
        <f t="shared" si="24"/>
        <v>46174</v>
      </c>
    </row>
    <row r="176" spans="1:18">
      <c r="A176" s="2" t="s">
        <v>406</v>
      </c>
      <c r="B176" s="2" t="s">
        <v>407</v>
      </c>
      <c r="C176" s="2" t="s">
        <v>59</v>
      </c>
      <c r="D176" s="2" t="s">
        <v>60</v>
      </c>
      <c r="E176" s="2">
        <v>2</v>
      </c>
      <c r="F176" s="2">
        <v>17</v>
      </c>
      <c r="G176" s="2">
        <v>12</v>
      </c>
      <c r="H176" s="2">
        <v>198</v>
      </c>
      <c r="I176" s="2">
        <v>93</v>
      </c>
      <c r="J176" s="2">
        <v>16</v>
      </c>
      <c r="K176" s="3" t="s">
        <v>29</v>
      </c>
      <c r="L176" s="6">
        <f t="shared" si="17"/>
        <v>0.46969696969696972</v>
      </c>
      <c r="M176" s="6">
        <f t="shared" si="18"/>
        <v>0.70588235294117652</v>
      </c>
      <c r="N176" t="str">
        <f t="shared" si="19"/>
        <v>Medium</v>
      </c>
      <c r="O176" t="str">
        <f t="shared" si="20"/>
        <v>Needs Improvement</v>
      </c>
      <c r="P176" t="str">
        <f t="shared" si="21"/>
        <v>Medium Productivity</v>
      </c>
      <c r="Q176" t="str">
        <f t="shared" si="26"/>
        <v>Rahul Sharma</v>
      </c>
      <c r="R176" s="13">
        <f t="shared" si="24"/>
        <v>46204</v>
      </c>
    </row>
    <row r="177" spans="1:18">
      <c r="A177" s="2" t="s">
        <v>408</v>
      </c>
      <c r="B177" s="2" t="s">
        <v>409</v>
      </c>
      <c r="C177" s="2" t="s">
        <v>18</v>
      </c>
      <c r="D177" s="2" t="s">
        <v>19</v>
      </c>
      <c r="E177" s="2">
        <v>4</v>
      </c>
      <c r="F177" s="2">
        <v>18</v>
      </c>
      <c r="G177" s="2">
        <v>14</v>
      </c>
      <c r="H177" s="2">
        <v>152</v>
      </c>
      <c r="I177" s="2">
        <v>115</v>
      </c>
      <c r="J177" s="2">
        <v>19</v>
      </c>
      <c r="K177" s="3" t="s">
        <v>24</v>
      </c>
      <c r="L177" s="6">
        <f t="shared" si="17"/>
        <v>0.75657894736842102</v>
      </c>
      <c r="M177" s="6">
        <f t="shared" si="18"/>
        <v>0.77777777777777779</v>
      </c>
      <c r="N177" t="str">
        <f t="shared" si="19"/>
        <v>Medium</v>
      </c>
      <c r="O177" t="str">
        <f t="shared" si="20"/>
        <v>Meets Expectations</v>
      </c>
      <c r="P177" t="str">
        <f t="shared" si="21"/>
        <v>Medium Productivity</v>
      </c>
      <c r="Q177" t="str">
        <f t="shared" si="26"/>
        <v>Karthik Menon</v>
      </c>
      <c r="R177" s="13">
        <f t="shared" si="24"/>
        <v>46235</v>
      </c>
    </row>
    <row r="178" spans="1:18">
      <c r="A178" s="2" t="s">
        <v>410</v>
      </c>
      <c r="B178" s="2" t="s">
        <v>411</v>
      </c>
      <c r="C178" s="2" t="s">
        <v>59</v>
      </c>
      <c r="D178" s="2" t="s">
        <v>60</v>
      </c>
      <c r="E178" s="2">
        <v>4</v>
      </c>
      <c r="F178" s="2">
        <v>9</v>
      </c>
      <c r="G178" s="2">
        <v>9</v>
      </c>
      <c r="H178" s="2">
        <v>201</v>
      </c>
      <c r="I178" s="2">
        <v>80</v>
      </c>
      <c r="J178" s="2">
        <v>15</v>
      </c>
      <c r="K178" s="3" t="s">
        <v>24</v>
      </c>
      <c r="L178" s="6">
        <f t="shared" si="17"/>
        <v>0.39800995024875624</v>
      </c>
      <c r="M178" s="6">
        <f t="shared" si="18"/>
        <v>1</v>
      </c>
      <c r="N178" t="str">
        <f t="shared" si="19"/>
        <v>Medium</v>
      </c>
      <c r="O178" t="str">
        <f t="shared" si="20"/>
        <v>Meets Expectations</v>
      </c>
      <c r="P178" t="str">
        <f t="shared" si="21"/>
        <v>High Productivity</v>
      </c>
      <c r="Q178" t="str">
        <f t="shared" si="26"/>
        <v>Rahul Sharma</v>
      </c>
      <c r="R178" s="13">
        <f t="shared" si="24"/>
        <v>46266</v>
      </c>
    </row>
    <row r="179" spans="1:18" ht="28.8">
      <c r="A179" s="2" t="s">
        <v>412</v>
      </c>
      <c r="B179" s="2" t="s">
        <v>413</v>
      </c>
      <c r="C179" s="2" t="s">
        <v>27</v>
      </c>
      <c r="D179" s="2" t="s">
        <v>104</v>
      </c>
      <c r="E179" s="2">
        <v>3</v>
      </c>
      <c r="F179" s="2">
        <v>20</v>
      </c>
      <c r="G179" s="2">
        <v>14</v>
      </c>
      <c r="H179" s="2">
        <v>169</v>
      </c>
      <c r="I179" s="2">
        <v>85</v>
      </c>
      <c r="J179" s="2">
        <v>9</v>
      </c>
      <c r="K179" s="3" t="s">
        <v>37</v>
      </c>
      <c r="L179" s="6">
        <f t="shared" si="17"/>
        <v>0.50295857988165682</v>
      </c>
      <c r="M179" s="6">
        <f t="shared" si="18"/>
        <v>0.7</v>
      </c>
      <c r="N179" t="str">
        <f t="shared" si="19"/>
        <v>Low</v>
      </c>
      <c r="O179" t="str">
        <f t="shared" si="20"/>
        <v>Meets Expectations</v>
      </c>
      <c r="P179" t="str">
        <f t="shared" si="21"/>
        <v>Medium Productivity</v>
      </c>
      <c r="Q179" t="str">
        <f t="shared" si="26"/>
        <v>Vikram Rao</v>
      </c>
      <c r="R179" s="13">
        <f t="shared" si="24"/>
        <v>46296</v>
      </c>
    </row>
    <row r="180" spans="1:18" ht="28.8">
      <c r="A180" s="2" t="s">
        <v>414</v>
      </c>
      <c r="B180" s="2" t="s">
        <v>415</v>
      </c>
      <c r="C180" s="2" t="s">
        <v>27</v>
      </c>
      <c r="D180" s="2" t="s">
        <v>28</v>
      </c>
      <c r="E180" s="2">
        <v>3</v>
      </c>
      <c r="F180" s="2">
        <v>20</v>
      </c>
      <c r="G180" s="2">
        <v>17</v>
      </c>
      <c r="H180" s="2">
        <v>186</v>
      </c>
      <c r="I180" s="2">
        <v>102</v>
      </c>
      <c r="J180" s="2">
        <v>10</v>
      </c>
      <c r="K180" s="3" t="s">
        <v>37</v>
      </c>
      <c r="L180" s="6">
        <f t="shared" si="17"/>
        <v>0.54838709677419351</v>
      </c>
      <c r="M180" s="6">
        <f t="shared" si="18"/>
        <v>0.85</v>
      </c>
      <c r="N180" t="str">
        <f t="shared" si="19"/>
        <v>Medium</v>
      </c>
      <c r="O180" t="str">
        <f t="shared" si="20"/>
        <v>Meets Expectations</v>
      </c>
      <c r="P180" t="str">
        <f t="shared" si="21"/>
        <v>Medium Productivity</v>
      </c>
      <c r="Q180" t="str">
        <f t="shared" si="26"/>
        <v>Vikram Rao</v>
      </c>
      <c r="R180" s="13">
        <f t="shared" si="24"/>
        <v>46327</v>
      </c>
    </row>
    <row r="181" spans="1:18">
      <c r="A181" s="2" t="s">
        <v>416</v>
      </c>
      <c r="B181" s="2" t="s">
        <v>417</v>
      </c>
      <c r="C181" s="2" t="s">
        <v>48</v>
      </c>
      <c r="D181" s="2" t="s">
        <v>75</v>
      </c>
      <c r="E181" s="2">
        <v>3</v>
      </c>
      <c r="F181" s="2">
        <v>15</v>
      </c>
      <c r="G181" s="2">
        <v>13</v>
      </c>
      <c r="H181" s="2">
        <v>194</v>
      </c>
      <c r="I181" s="2">
        <v>88</v>
      </c>
      <c r="J181" s="2">
        <v>12</v>
      </c>
      <c r="K181" s="3" t="s">
        <v>84</v>
      </c>
      <c r="L181" s="6">
        <f t="shared" si="17"/>
        <v>0.45360824742268041</v>
      </c>
      <c r="M181" s="6">
        <f t="shared" si="18"/>
        <v>0.8666666666666667</v>
      </c>
      <c r="N181" t="str">
        <f t="shared" si="19"/>
        <v>Medium</v>
      </c>
      <c r="O181" t="str">
        <f t="shared" si="20"/>
        <v>Meets Expectations</v>
      </c>
      <c r="P181" t="str">
        <f t="shared" si="21"/>
        <v>Medium Productivity</v>
      </c>
      <c r="Q181" t="str">
        <f t="shared" si="26"/>
        <v>Priya Nair</v>
      </c>
      <c r="R181" s="13">
        <f t="shared" si="24"/>
        <v>46357</v>
      </c>
    </row>
    <row r="182" spans="1:18">
      <c r="A182" s="2" t="s">
        <v>418</v>
      </c>
      <c r="B182" s="2" t="s">
        <v>419</v>
      </c>
      <c r="C182" s="2" t="s">
        <v>52</v>
      </c>
      <c r="D182" s="2" t="s">
        <v>53</v>
      </c>
      <c r="E182" s="2">
        <v>3</v>
      </c>
      <c r="F182" s="2">
        <v>21</v>
      </c>
      <c r="G182" s="2">
        <v>17</v>
      </c>
      <c r="H182" s="2">
        <v>187</v>
      </c>
      <c r="I182" s="2">
        <v>141</v>
      </c>
      <c r="J182" s="2">
        <v>2</v>
      </c>
      <c r="K182" s="3" t="s">
        <v>84</v>
      </c>
      <c r="L182" s="6">
        <f t="shared" si="17"/>
        <v>0.75401069518716579</v>
      </c>
      <c r="M182" s="6">
        <f t="shared" si="18"/>
        <v>0.80952380952380953</v>
      </c>
      <c r="N182" t="str">
        <f t="shared" si="19"/>
        <v>Low</v>
      </c>
      <c r="O182" t="str">
        <f t="shared" si="20"/>
        <v>Meets Expectations</v>
      </c>
      <c r="P182" t="str">
        <f t="shared" si="21"/>
        <v>Medium Productivity</v>
      </c>
      <c r="Q182" t="str">
        <f t="shared" si="26"/>
        <v>Rohan Verma</v>
      </c>
      <c r="R182" s="13">
        <f t="shared" si="24"/>
        <v>46023</v>
      </c>
    </row>
    <row r="183" spans="1:18">
      <c r="A183" s="2" t="s">
        <v>420</v>
      </c>
      <c r="B183" s="2" t="s">
        <v>421</v>
      </c>
      <c r="C183" s="2" t="s">
        <v>59</v>
      </c>
      <c r="D183" s="2" t="s">
        <v>101</v>
      </c>
      <c r="E183" s="2">
        <v>4</v>
      </c>
      <c r="F183" s="2">
        <v>13</v>
      </c>
      <c r="G183" s="2">
        <v>16</v>
      </c>
      <c r="H183" s="2">
        <v>181</v>
      </c>
      <c r="I183" s="2">
        <v>84</v>
      </c>
      <c r="J183" s="2">
        <v>14</v>
      </c>
      <c r="K183" s="3" t="s">
        <v>34</v>
      </c>
      <c r="L183" s="6">
        <f t="shared" si="17"/>
        <v>0.46408839779005523</v>
      </c>
      <c r="M183" s="6">
        <f t="shared" si="18"/>
        <v>1.2307692307692308</v>
      </c>
      <c r="N183" t="str">
        <f t="shared" si="19"/>
        <v>Medium</v>
      </c>
      <c r="O183" t="str">
        <f t="shared" si="20"/>
        <v>Meets Expectations</v>
      </c>
      <c r="P183" t="str">
        <f t="shared" si="21"/>
        <v>High Productivity</v>
      </c>
      <c r="Q183" t="str">
        <f t="shared" si="26"/>
        <v>Rahul Sharma</v>
      </c>
      <c r="R183" s="13">
        <f t="shared" si="24"/>
        <v>46054</v>
      </c>
    </row>
    <row r="184" spans="1:18" ht="28.8">
      <c r="A184" s="2" t="s">
        <v>422</v>
      </c>
      <c r="B184" s="2" t="s">
        <v>423</v>
      </c>
      <c r="C184" s="2" t="s">
        <v>43</v>
      </c>
      <c r="D184" s="2" t="s">
        <v>56</v>
      </c>
      <c r="E184" s="2">
        <v>5</v>
      </c>
      <c r="F184" s="2">
        <v>27</v>
      </c>
      <c r="G184" s="2">
        <v>24</v>
      </c>
      <c r="H184" s="2">
        <v>181</v>
      </c>
      <c r="I184" s="2">
        <v>120</v>
      </c>
      <c r="J184" s="2">
        <v>6</v>
      </c>
      <c r="K184" s="3" t="s">
        <v>20</v>
      </c>
      <c r="L184" s="6">
        <f t="shared" si="17"/>
        <v>0.66298342541436461</v>
      </c>
      <c r="M184" s="6">
        <f t="shared" si="18"/>
        <v>0.88888888888888884</v>
      </c>
      <c r="N184" t="str">
        <f t="shared" si="19"/>
        <v>Low</v>
      </c>
      <c r="O184" t="str">
        <f t="shared" si="20"/>
        <v>Meets Expectations</v>
      </c>
      <c r="P184" t="str">
        <f t="shared" si="21"/>
        <v>Medium Productivity</v>
      </c>
      <c r="Q184" t="str">
        <f>IF(C184="Sales","Arjun Mehta",IF(C184="Marketing","Priya Nair",IF(C184="Finance","Rahul Sharma",IF(C184="HR","Ananya Iyer",IF(C184="Operations","Vikram Rao",IF(C184="IT","Karthik Menon",IF(C184="Product","Neha Kapoor","Rohan Verma")))))))</f>
        <v>Arjun Mehta</v>
      </c>
      <c r="R184" s="13">
        <f t="shared" si="24"/>
        <v>46082</v>
      </c>
    </row>
    <row r="185" spans="1:18">
      <c r="A185" s="2" t="s">
        <v>424</v>
      </c>
      <c r="B185" s="2" t="s">
        <v>425</v>
      </c>
      <c r="C185" s="2" t="s">
        <v>48</v>
      </c>
      <c r="D185" s="2" t="s">
        <v>113</v>
      </c>
      <c r="E185" s="2">
        <v>2</v>
      </c>
      <c r="F185" s="2">
        <v>15</v>
      </c>
      <c r="G185" s="2">
        <v>10</v>
      </c>
      <c r="H185" s="2">
        <v>160</v>
      </c>
      <c r="I185" s="2">
        <v>74</v>
      </c>
      <c r="J185" s="2">
        <v>13</v>
      </c>
      <c r="K185" s="3" t="s">
        <v>29</v>
      </c>
      <c r="L185" s="6">
        <f t="shared" si="17"/>
        <v>0.46250000000000002</v>
      </c>
      <c r="M185" s="6">
        <f t="shared" si="18"/>
        <v>0.66666666666666663</v>
      </c>
      <c r="N185" t="str">
        <f t="shared" si="19"/>
        <v>Medium</v>
      </c>
      <c r="O185" t="str">
        <f t="shared" si="20"/>
        <v>Needs Improvement</v>
      </c>
      <c r="P185" t="str">
        <f t="shared" si="21"/>
        <v>Medium Productivity</v>
      </c>
      <c r="Q185" t="str">
        <f t="shared" ref="Q185:Q199" si="27">IF(C185="Sales","Arjun Mehta",IF(C185="Marketing","Priya Nair",IF(C185="Finance","Rahul Sharma",IF(C185="HR","Ananya Iyer",IF(C185="Operations","Vikram Rao",IF(C185="IT","Karthik Menon",IF(C185="Product","Neha Kapoor","Rohan Verma")))))))</f>
        <v>Priya Nair</v>
      </c>
      <c r="R185" s="13">
        <f t="shared" si="24"/>
        <v>46113</v>
      </c>
    </row>
    <row r="186" spans="1:18">
      <c r="A186" s="2" t="s">
        <v>426</v>
      </c>
      <c r="B186" s="2" t="s">
        <v>427</v>
      </c>
      <c r="C186" s="2" t="s">
        <v>43</v>
      </c>
      <c r="D186" s="2" t="s">
        <v>44</v>
      </c>
      <c r="E186" s="2">
        <v>3</v>
      </c>
      <c r="F186" s="2">
        <v>27</v>
      </c>
      <c r="G186" s="2">
        <v>20</v>
      </c>
      <c r="H186" s="2">
        <v>165</v>
      </c>
      <c r="I186" s="2">
        <v>103</v>
      </c>
      <c r="J186" s="2">
        <v>5</v>
      </c>
      <c r="K186" s="3" t="s">
        <v>45</v>
      </c>
      <c r="L186" s="6">
        <f t="shared" si="17"/>
        <v>0.62424242424242427</v>
      </c>
      <c r="M186" s="6">
        <f t="shared" si="18"/>
        <v>0.7407407407407407</v>
      </c>
      <c r="N186" t="str">
        <f t="shared" si="19"/>
        <v>Low</v>
      </c>
      <c r="O186" t="str">
        <f t="shared" si="20"/>
        <v>Meets Expectations</v>
      </c>
      <c r="P186" t="str">
        <f t="shared" si="21"/>
        <v>Medium Productivity</v>
      </c>
      <c r="Q186" t="str">
        <f t="shared" si="27"/>
        <v>Arjun Mehta</v>
      </c>
      <c r="R186" s="13">
        <f t="shared" si="24"/>
        <v>46143</v>
      </c>
    </row>
    <row r="187" spans="1:18">
      <c r="A187" s="2" t="s">
        <v>428</v>
      </c>
      <c r="B187" s="2" t="s">
        <v>429</v>
      </c>
      <c r="C187" s="2" t="s">
        <v>18</v>
      </c>
      <c r="D187" s="2" t="s">
        <v>19</v>
      </c>
      <c r="E187" s="2">
        <v>4</v>
      </c>
      <c r="F187" s="2">
        <v>23</v>
      </c>
      <c r="G187" s="2">
        <v>21</v>
      </c>
      <c r="H187" s="2">
        <v>166</v>
      </c>
      <c r="I187" s="2">
        <v>135</v>
      </c>
      <c r="J187" s="2">
        <v>13</v>
      </c>
      <c r="K187" s="3" t="s">
        <v>34</v>
      </c>
      <c r="L187" s="6">
        <f t="shared" si="17"/>
        <v>0.81325301204819278</v>
      </c>
      <c r="M187" s="6">
        <f t="shared" si="18"/>
        <v>0.91304347826086951</v>
      </c>
      <c r="N187" t="str">
        <f t="shared" si="19"/>
        <v>Medium</v>
      </c>
      <c r="O187" t="str">
        <f t="shared" si="20"/>
        <v>Star Performer</v>
      </c>
      <c r="P187" t="str">
        <f t="shared" si="21"/>
        <v>High Productivity</v>
      </c>
      <c r="Q187" t="str">
        <f t="shared" si="27"/>
        <v>Karthik Menon</v>
      </c>
      <c r="R187" s="13">
        <f t="shared" si="24"/>
        <v>46174</v>
      </c>
    </row>
    <row r="188" spans="1:18" ht="28.8">
      <c r="A188" s="2" t="s">
        <v>430</v>
      </c>
      <c r="B188" s="2" t="s">
        <v>431</v>
      </c>
      <c r="C188" s="2" t="s">
        <v>18</v>
      </c>
      <c r="D188" s="2" t="s">
        <v>19</v>
      </c>
      <c r="E188" s="2">
        <v>4</v>
      </c>
      <c r="F188" s="2">
        <v>10</v>
      </c>
      <c r="G188" s="2">
        <v>10</v>
      </c>
      <c r="H188" s="2">
        <v>192</v>
      </c>
      <c r="I188" s="2">
        <v>141</v>
      </c>
      <c r="J188" s="2">
        <v>8</v>
      </c>
      <c r="K188" s="3" t="s">
        <v>40</v>
      </c>
      <c r="L188" s="6">
        <f t="shared" si="17"/>
        <v>0.734375</v>
      </c>
      <c r="M188" s="6">
        <f t="shared" si="18"/>
        <v>1</v>
      </c>
      <c r="N188" t="str">
        <f t="shared" si="19"/>
        <v>Low</v>
      </c>
      <c r="O188" t="str">
        <f t="shared" si="20"/>
        <v>Meets Expectations</v>
      </c>
      <c r="P188" t="str">
        <f t="shared" si="21"/>
        <v>High Productivity</v>
      </c>
      <c r="Q188" t="str">
        <f t="shared" si="27"/>
        <v>Karthik Menon</v>
      </c>
      <c r="R188" s="13">
        <f t="shared" si="24"/>
        <v>46204</v>
      </c>
    </row>
    <row r="189" spans="1:18" ht="28.8">
      <c r="A189" s="2" t="s">
        <v>432</v>
      </c>
      <c r="B189" s="2" t="s">
        <v>433</v>
      </c>
      <c r="C189" s="2" t="s">
        <v>18</v>
      </c>
      <c r="D189" s="2" t="s">
        <v>19</v>
      </c>
      <c r="E189" s="2">
        <v>5</v>
      </c>
      <c r="F189" s="2">
        <v>12</v>
      </c>
      <c r="G189" s="2">
        <v>11</v>
      </c>
      <c r="H189" s="2">
        <v>158</v>
      </c>
      <c r="I189" s="2">
        <v>122</v>
      </c>
      <c r="J189" s="2">
        <v>3</v>
      </c>
      <c r="K189" s="3" t="s">
        <v>61</v>
      </c>
      <c r="L189" s="6">
        <f t="shared" si="17"/>
        <v>0.77215189873417722</v>
      </c>
      <c r="M189" s="6">
        <f t="shared" si="18"/>
        <v>0.91666666666666663</v>
      </c>
      <c r="N189" t="str">
        <f t="shared" si="19"/>
        <v>Low</v>
      </c>
      <c r="O189" t="str">
        <f t="shared" si="20"/>
        <v>Meets Expectations</v>
      </c>
      <c r="P189" t="str">
        <f t="shared" si="21"/>
        <v>High Productivity</v>
      </c>
      <c r="Q189" t="str">
        <f t="shared" si="27"/>
        <v>Karthik Menon</v>
      </c>
      <c r="R189" s="13">
        <f t="shared" si="24"/>
        <v>46235</v>
      </c>
    </row>
    <row r="190" spans="1:18">
      <c r="A190" s="2" t="s">
        <v>434</v>
      </c>
      <c r="B190" s="2" t="s">
        <v>435</v>
      </c>
      <c r="C190" s="2" t="s">
        <v>43</v>
      </c>
      <c r="D190" s="2" t="s">
        <v>96</v>
      </c>
      <c r="E190" s="2">
        <v>4</v>
      </c>
      <c r="F190" s="2">
        <v>23</v>
      </c>
      <c r="G190" s="2">
        <v>22</v>
      </c>
      <c r="H190" s="2">
        <v>154</v>
      </c>
      <c r="I190" s="2">
        <v>93</v>
      </c>
      <c r="J190" s="2">
        <v>13</v>
      </c>
      <c r="K190" s="3" t="s">
        <v>34</v>
      </c>
      <c r="L190" s="6">
        <f t="shared" si="17"/>
        <v>0.60389610389610393</v>
      </c>
      <c r="M190" s="6">
        <f t="shared" si="18"/>
        <v>0.95652173913043481</v>
      </c>
      <c r="N190" t="str">
        <f t="shared" si="19"/>
        <v>Medium</v>
      </c>
      <c r="O190" t="str">
        <f t="shared" si="20"/>
        <v>Meets Expectations</v>
      </c>
      <c r="P190" t="str">
        <f t="shared" si="21"/>
        <v>High Productivity</v>
      </c>
      <c r="Q190" t="str">
        <f t="shared" si="27"/>
        <v>Arjun Mehta</v>
      </c>
      <c r="R190" s="13">
        <f t="shared" si="24"/>
        <v>46266</v>
      </c>
    </row>
    <row r="191" spans="1:18" ht="28.8">
      <c r="A191" s="2" t="s">
        <v>436</v>
      </c>
      <c r="B191" s="2" t="s">
        <v>437</v>
      </c>
      <c r="C191" s="2" t="s">
        <v>32</v>
      </c>
      <c r="D191" s="2" t="s">
        <v>123</v>
      </c>
      <c r="E191" s="2">
        <v>3</v>
      </c>
      <c r="F191" s="2">
        <v>13</v>
      </c>
      <c r="G191" s="2">
        <v>12</v>
      </c>
      <c r="H191" s="2">
        <v>203</v>
      </c>
      <c r="I191" s="2">
        <v>60</v>
      </c>
      <c r="J191" s="2">
        <v>16</v>
      </c>
      <c r="K191" s="3" t="s">
        <v>37</v>
      </c>
      <c r="L191" s="6">
        <f t="shared" si="17"/>
        <v>0.29556650246305421</v>
      </c>
      <c r="M191" s="6">
        <f t="shared" si="18"/>
        <v>0.92307692307692313</v>
      </c>
      <c r="N191" t="str">
        <f t="shared" si="19"/>
        <v>Medium</v>
      </c>
      <c r="O191" t="str">
        <f t="shared" si="20"/>
        <v>Meets Expectations</v>
      </c>
      <c r="P191" t="str">
        <f t="shared" si="21"/>
        <v>High Productivity</v>
      </c>
      <c r="Q191" t="str">
        <f t="shared" si="27"/>
        <v>Ananya Iyer</v>
      </c>
      <c r="R191" s="13">
        <f t="shared" si="24"/>
        <v>46296</v>
      </c>
    </row>
    <row r="192" spans="1:18" ht="28.8">
      <c r="A192" s="2" t="s">
        <v>438</v>
      </c>
      <c r="B192" s="2" t="s">
        <v>439</v>
      </c>
      <c r="C192" s="2" t="s">
        <v>32</v>
      </c>
      <c r="D192" s="2" t="s">
        <v>67</v>
      </c>
      <c r="E192" s="2">
        <v>5</v>
      </c>
      <c r="F192" s="2">
        <v>20</v>
      </c>
      <c r="G192" s="2">
        <v>24</v>
      </c>
      <c r="H192" s="2">
        <v>185</v>
      </c>
      <c r="I192" s="2">
        <v>54</v>
      </c>
      <c r="J192" s="2">
        <v>5</v>
      </c>
      <c r="K192" s="3" t="s">
        <v>89</v>
      </c>
      <c r="L192" s="6">
        <f t="shared" si="17"/>
        <v>0.29189189189189191</v>
      </c>
      <c r="M192" s="6">
        <f t="shared" si="18"/>
        <v>1.2</v>
      </c>
      <c r="N192" t="str">
        <f t="shared" si="19"/>
        <v>Low</v>
      </c>
      <c r="O192" t="str">
        <f t="shared" si="20"/>
        <v>Meets Expectations</v>
      </c>
      <c r="P192" t="str">
        <f t="shared" si="21"/>
        <v>High Productivity</v>
      </c>
      <c r="Q192" t="str">
        <f t="shared" si="27"/>
        <v>Ananya Iyer</v>
      </c>
      <c r="R192" s="13">
        <f t="shared" si="24"/>
        <v>46327</v>
      </c>
    </row>
    <row r="193" spans="1:18">
      <c r="A193" s="2" t="s">
        <v>440</v>
      </c>
      <c r="B193" s="2" t="s">
        <v>441</v>
      </c>
      <c r="C193" s="2" t="s">
        <v>43</v>
      </c>
      <c r="D193" s="2" t="s">
        <v>44</v>
      </c>
      <c r="E193" s="2">
        <v>4</v>
      </c>
      <c r="F193" s="2">
        <v>28</v>
      </c>
      <c r="G193" s="2">
        <v>20</v>
      </c>
      <c r="H193" s="2">
        <v>169</v>
      </c>
      <c r="I193" s="2">
        <v>87</v>
      </c>
      <c r="J193" s="2">
        <v>13</v>
      </c>
      <c r="K193" s="3" t="s">
        <v>34</v>
      </c>
      <c r="L193" s="6">
        <f t="shared" si="17"/>
        <v>0.51479289940828399</v>
      </c>
      <c r="M193" s="6">
        <f t="shared" si="18"/>
        <v>0.7142857142857143</v>
      </c>
      <c r="N193" t="str">
        <f t="shared" si="19"/>
        <v>Medium</v>
      </c>
      <c r="O193" t="str">
        <f t="shared" si="20"/>
        <v>Meets Expectations</v>
      </c>
      <c r="P193" t="str">
        <f t="shared" si="21"/>
        <v>Medium Productivity</v>
      </c>
      <c r="Q193" t="str">
        <f t="shared" si="27"/>
        <v>Arjun Mehta</v>
      </c>
      <c r="R193" s="13">
        <f t="shared" si="24"/>
        <v>46357</v>
      </c>
    </row>
    <row r="194" spans="1:18" ht="28.8">
      <c r="A194" s="2" t="s">
        <v>442</v>
      </c>
      <c r="B194" s="2" t="s">
        <v>443</v>
      </c>
      <c r="C194" s="2" t="s">
        <v>27</v>
      </c>
      <c r="D194" s="2" t="s">
        <v>128</v>
      </c>
      <c r="E194" s="2">
        <v>3</v>
      </c>
      <c r="F194" s="2">
        <v>17</v>
      </c>
      <c r="G194" s="2">
        <v>13</v>
      </c>
      <c r="H194" s="2">
        <v>181</v>
      </c>
      <c r="I194" s="2">
        <v>119</v>
      </c>
      <c r="J194" s="2">
        <v>12</v>
      </c>
      <c r="K194" s="3" t="s">
        <v>37</v>
      </c>
      <c r="L194" s="6">
        <f t="shared" si="17"/>
        <v>0.65745856353591159</v>
      </c>
      <c r="M194" s="6">
        <f t="shared" si="18"/>
        <v>0.76470588235294112</v>
      </c>
      <c r="N194" t="str">
        <f t="shared" si="19"/>
        <v>Medium</v>
      </c>
      <c r="O194" t="str">
        <f t="shared" si="20"/>
        <v>Meets Expectations</v>
      </c>
      <c r="P194" t="str">
        <f t="shared" si="21"/>
        <v>Medium Productivity</v>
      </c>
      <c r="Q194" t="str">
        <f t="shared" si="27"/>
        <v>Vikram Rao</v>
      </c>
      <c r="R194" s="13">
        <f t="shared" si="24"/>
        <v>46023</v>
      </c>
    </row>
    <row r="195" spans="1:18">
      <c r="A195" s="2" t="s">
        <v>444</v>
      </c>
      <c r="B195" s="2" t="s">
        <v>445</v>
      </c>
      <c r="C195" s="2" t="s">
        <v>27</v>
      </c>
      <c r="D195" s="2" t="s">
        <v>128</v>
      </c>
      <c r="E195" s="2">
        <v>2</v>
      </c>
      <c r="F195" s="2">
        <v>16</v>
      </c>
      <c r="G195" s="2">
        <v>10</v>
      </c>
      <c r="H195" s="2">
        <v>157</v>
      </c>
      <c r="I195" s="2">
        <v>74</v>
      </c>
      <c r="J195" s="2">
        <v>18</v>
      </c>
      <c r="K195" s="3" t="s">
        <v>29</v>
      </c>
      <c r="L195" s="6">
        <f t="shared" ref="L195:L241" si="28">IFERROR(I195/H195,0)</f>
        <v>0.4713375796178344</v>
      </c>
      <c r="M195" s="6">
        <f t="shared" ref="M195:M241" si="29">IFERROR(G195/F195,0)</f>
        <v>0.625</v>
      </c>
      <c r="N195" t="str">
        <f t="shared" ref="N195:N241" si="30">IF(J195&lt;10,"Low",IF(J195&lt;=20,"Medium","High"))</f>
        <v>Medium</v>
      </c>
      <c r="O195" t="str">
        <f t="shared" ref="O195:O241" si="31">IF(AND(E195&gt;=4,L195&gt;=80%),"Star Performer",IF(E195&gt;=3,"Meets Expectations","Needs Improvement"))</f>
        <v>Needs Improvement</v>
      </c>
      <c r="P195" t="str">
        <f t="shared" ref="P195:P241" si="32">IF(M195&gt;=90%,"High Productivity",IF(M195&gt;=60%,"Medium Productivity","Low Productivity"))</f>
        <v>Medium Productivity</v>
      </c>
      <c r="Q195" t="str">
        <f t="shared" si="27"/>
        <v>Vikram Rao</v>
      </c>
      <c r="R195" s="13">
        <f t="shared" si="24"/>
        <v>46054</v>
      </c>
    </row>
    <row r="196" spans="1:18">
      <c r="A196" s="2" t="s">
        <v>446</v>
      </c>
      <c r="B196" s="2" t="s">
        <v>447</v>
      </c>
      <c r="C196" s="2" t="s">
        <v>13</v>
      </c>
      <c r="D196" s="2" t="s">
        <v>120</v>
      </c>
      <c r="E196" s="2">
        <v>4</v>
      </c>
      <c r="F196" s="2">
        <v>16</v>
      </c>
      <c r="G196" s="2">
        <v>16</v>
      </c>
      <c r="H196" s="2">
        <v>168</v>
      </c>
      <c r="I196" s="2">
        <v>115</v>
      </c>
      <c r="J196" s="2">
        <v>17</v>
      </c>
      <c r="K196" s="3" t="s">
        <v>34</v>
      </c>
      <c r="L196" s="6">
        <f t="shared" si="28"/>
        <v>0.68452380952380953</v>
      </c>
      <c r="M196" s="6">
        <f t="shared" si="29"/>
        <v>1</v>
      </c>
      <c r="N196" t="str">
        <f t="shared" si="30"/>
        <v>Medium</v>
      </c>
      <c r="O196" t="str">
        <f t="shared" si="31"/>
        <v>Meets Expectations</v>
      </c>
      <c r="P196" t="str">
        <f t="shared" si="32"/>
        <v>High Productivity</v>
      </c>
      <c r="Q196" t="str">
        <f t="shared" si="27"/>
        <v>Neha Kapoor</v>
      </c>
      <c r="R196" s="13">
        <f t="shared" si="24"/>
        <v>46082</v>
      </c>
    </row>
    <row r="197" spans="1:18" ht="28.8">
      <c r="A197" s="2" t="s">
        <v>448</v>
      </c>
      <c r="B197" s="2" t="s">
        <v>449</v>
      </c>
      <c r="C197" s="2" t="s">
        <v>32</v>
      </c>
      <c r="D197" s="2" t="s">
        <v>33</v>
      </c>
      <c r="E197" s="2">
        <v>3</v>
      </c>
      <c r="F197" s="2">
        <v>13</v>
      </c>
      <c r="G197" s="2">
        <v>10</v>
      </c>
      <c r="H197" s="2">
        <v>192</v>
      </c>
      <c r="I197" s="2">
        <v>70</v>
      </c>
      <c r="J197" s="2">
        <v>12</v>
      </c>
      <c r="K197" s="3" t="s">
        <v>37</v>
      </c>
      <c r="L197" s="6">
        <f t="shared" si="28"/>
        <v>0.36458333333333331</v>
      </c>
      <c r="M197" s="6">
        <f t="shared" si="29"/>
        <v>0.76923076923076927</v>
      </c>
      <c r="N197" t="str">
        <f t="shared" si="30"/>
        <v>Medium</v>
      </c>
      <c r="O197" t="str">
        <f t="shared" si="31"/>
        <v>Meets Expectations</v>
      </c>
      <c r="P197" t="str">
        <f t="shared" si="32"/>
        <v>Medium Productivity</v>
      </c>
      <c r="Q197" t="str">
        <f t="shared" si="27"/>
        <v>Ananya Iyer</v>
      </c>
      <c r="R197" s="13">
        <f t="shared" si="24"/>
        <v>46113</v>
      </c>
    </row>
    <row r="198" spans="1:18" ht="28.8">
      <c r="A198" s="2" t="s">
        <v>450</v>
      </c>
      <c r="B198" s="2" t="s">
        <v>451</v>
      </c>
      <c r="C198" s="2" t="s">
        <v>43</v>
      </c>
      <c r="D198" s="2" t="s">
        <v>44</v>
      </c>
      <c r="E198" s="2">
        <v>3</v>
      </c>
      <c r="F198" s="2">
        <v>13</v>
      </c>
      <c r="G198" s="2">
        <v>10</v>
      </c>
      <c r="H198" s="2">
        <v>168</v>
      </c>
      <c r="I198" s="2">
        <v>98</v>
      </c>
      <c r="J198" s="2">
        <v>12</v>
      </c>
      <c r="K198" s="3" t="s">
        <v>37</v>
      </c>
      <c r="L198" s="6">
        <f t="shared" si="28"/>
        <v>0.58333333333333337</v>
      </c>
      <c r="M198" s="6">
        <f t="shared" si="29"/>
        <v>0.76923076923076927</v>
      </c>
      <c r="N198" t="str">
        <f t="shared" si="30"/>
        <v>Medium</v>
      </c>
      <c r="O198" t="str">
        <f t="shared" si="31"/>
        <v>Meets Expectations</v>
      </c>
      <c r="P198" t="str">
        <f t="shared" si="32"/>
        <v>Medium Productivity</v>
      </c>
      <c r="Q198" t="str">
        <f t="shared" si="27"/>
        <v>Arjun Mehta</v>
      </c>
      <c r="R198" s="13">
        <f t="shared" si="24"/>
        <v>46143</v>
      </c>
    </row>
    <row r="199" spans="1:18" ht="28.8">
      <c r="A199" s="2" t="s">
        <v>452</v>
      </c>
      <c r="B199" s="2" t="s">
        <v>453</v>
      </c>
      <c r="C199" s="2" t="s">
        <v>43</v>
      </c>
      <c r="D199" s="2" t="s">
        <v>96</v>
      </c>
      <c r="E199" s="2">
        <v>2</v>
      </c>
      <c r="F199" s="2">
        <v>12</v>
      </c>
      <c r="G199" s="2">
        <v>8</v>
      </c>
      <c r="H199" s="2">
        <v>187</v>
      </c>
      <c r="I199" s="2">
        <v>129</v>
      </c>
      <c r="J199" s="2">
        <v>18</v>
      </c>
      <c r="K199" s="3" t="s">
        <v>194</v>
      </c>
      <c r="L199" s="6">
        <f t="shared" si="28"/>
        <v>0.68983957219251335</v>
      </c>
      <c r="M199" s="6">
        <f t="shared" si="29"/>
        <v>0.66666666666666663</v>
      </c>
      <c r="N199" t="str">
        <f t="shared" si="30"/>
        <v>Medium</v>
      </c>
      <c r="O199" t="str">
        <f t="shared" si="31"/>
        <v>Needs Improvement</v>
      </c>
      <c r="P199" t="str">
        <f t="shared" si="32"/>
        <v>Medium Productivity</v>
      </c>
      <c r="Q199" t="str">
        <f t="shared" si="27"/>
        <v>Arjun Mehta</v>
      </c>
      <c r="R199" s="13">
        <f t="shared" si="24"/>
        <v>46174</v>
      </c>
    </row>
    <row r="200" spans="1:18" ht="28.8">
      <c r="A200" s="2" t="s">
        <v>454</v>
      </c>
      <c r="B200" s="2" t="s">
        <v>455</v>
      </c>
      <c r="C200" s="2" t="s">
        <v>32</v>
      </c>
      <c r="D200" s="2" t="s">
        <v>33</v>
      </c>
      <c r="E200" s="2">
        <v>5</v>
      </c>
      <c r="F200" s="2">
        <v>13</v>
      </c>
      <c r="G200" s="2">
        <v>13</v>
      </c>
      <c r="H200" s="2">
        <v>162</v>
      </c>
      <c r="I200" s="2">
        <v>58</v>
      </c>
      <c r="J200" s="2">
        <v>10</v>
      </c>
      <c r="K200" s="3" t="s">
        <v>61</v>
      </c>
      <c r="L200" s="6">
        <f t="shared" si="28"/>
        <v>0.35802469135802467</v>
      </c>
      <c r="M200" s="6">
        <f t="shared" si="29"/>
        <v>1</v>
      </c>
      <c r="N200" t="str">
        <f t="shared" si="30"/>
        <v>Medium</v>
      </c>
      <c r="O200" t="str">
        <f t="shared" si="31"/>
        <v>Meets Expectations</v>
      </c>
      <c r="P200" t="str">
        <f t="shared" si="32"/>
        <v>High Productivity</v>
      </c>
      <c r="Q200" t="str">
        <f>IF(C200="Sales","Arjun Mehta",IF(C200="Marketing","Priya Nair",IF(C200="Finance","Rahul Sharma",IF(C200="HR","Ananya Iyer",IF(C200="Operations","Vikram Rao",IF(C200="IT","Karthik Menon",IF(C200="Product","Neha Kapoor","Rohan Verma")))))))</f>
        <v>Ananya Iyer</v>
      </c>
      <c r="R200" s="13">
        <f t="shared" si="24"/>
        <v>46204</v>
      </c>
    </row>
    <row r="201" spans="1:18">
      <c r="A201" s="2" t="s">
        <v>456</v>
      </c>
      <c r="B201" s="2" t="s">
        <v>457</v>
      </c>
      <c r="C201" s="2" t="s">
        <v>13</v>
      </c>
      <c r="D201" s="2" t="s">
        <v>120</v>
      </c>
      <c r="E201" s="2">
        <v>4</v>
      </c>
      <c r="F201" s="2">
        <v>22</v>
      </c>
      <c r="G201" s="2">
        <v>21</v>
      </c>
      <c r="H201" s="2">
        <v>164</v>
      </c>
      <c r="I201" s="2">
        <v>97</v>
      </c>
      <c r="J201" s="2">
        <v>4</v>
      </c>
      <c r="K201" s="3" t="s">
        <v>24</v>
      </c>
      <c r="L201" s="6">
        <f t="shared" si="28"/>
        <v>0.59146341463414631</v>
      </c>
      <c r="M201" s="6">
        <f t="shared" si="29"/>
        <v>0.95454545454545459</v>
      </c>
      <c r="N201" t="str">
        <f t="shared" si="30"/>
        <v>Low</v>
      </c>
      <c r="O201" t="str">
        <f t="shared" si="31"/>
        <v>Meets Expectations</v>
      </c>
      <c r="P201" t="str">
        <f t="shared" si="32"/>
        <v>High Productivity</v>
      </c>
      <c r="Q201" t="str">
        <f t="shared" ref="Q201:Q211" si="33">IF(C201="Sales","Arjun Mehta",IF(C201="Marketing","Priya Nair",IF(C201="Finance","Rahul Sharma",IF(C201="HR","Ananya Iyer",IF(C201="Operations","Vikram Rao",IF(C201="IT","Karthik Menon",IF(C201="Product","Neha Kapoor","Rohan Verma")))))))</f>
        <v>Neha Kapoor</v>
      </c>
      <c r="R201" s="13">
        <f t="shared" si="24"/>
        <v>46235</v>
      </c>
    </row>
    <row r="202" spans="1:18">
      <c r="A202" s="2" t="s">
        <v>458</v>
      </c>
      <c r="B202" s="2" t="s">
        <v>459</v>
      </c>
      <c r="C202" s="2" t="s">
        <v>59</v>
      </c>
      <c r="D202" s="2" t="s">
        <v>60</v>
      </c>
      <c r="E202" s="2">
        <v>2</v>
      </c>
      <c r="F202" s="2">
        <v>10</v>
      </c>
      <c r="G202" s="2">
        <v>6</v>
      </c>
      <c r="H202" s="2">
        <v>167</v>
      </c>
      <c r="I202" s="2">
        <v>92</v>
      </c>
      <c r="J202" s="2">
        <v>15</v>
      </c>
      <c r="K202" s="3" t="s">
        <v>15</v>
      </c>
      <c r="L202" s="6">
        <f t="shared" si="28"/>
        <v>0.55089820359281438</v>
      </c>
      <c r="M202" s="6">
        <f t="shared" si="29"/>
        <v>0.6</v>
      </c>
      <c r="N202" t="str">
        <f t="shared" si="30"/>
        <v>Medium</v>
      </c>
      <c r="O202" t="str">
        <f t="shared" si="31"/>
        <v>Needs Improvement</v>
      </c>
      <c r="P202" t="str">
        <f t="shared" si="32"/>
        <v>Medium Productivity</v>
      </c>
      <c r="Q202" t="str">
        <f t="shared" si="33"/>
        <v>Rahul Sharma</v>
      </c>
      <c r="R202" s="13">
        <f t="shared" si="24"/>
        <v>46266</v>
      </c>
    </row>
    <row r="203" spans="1:18" ht="28.8">
      <c r="A203" s="2" t="s">
        <v>460</v>
      </c>
      <c r="B203" s="2" t="s">
        <v>461</v>
      </c>
      <c r="C203" s="2" t="s">
        <v>52</v>
      </c>
      <c r="D203" s="2" t="s">
        <v>81</v>
      </c>
      <c r="E203" s="2">
        <v>5</v>
      </c>
      <c r="F203" s="2">
        <v>30</v>
      </c>
      <c r="G203" s="2">
        <v>29</v>
      </c>
      <c r="H203" s="2">
        <v>187</v>
      </c>
      <c r="I203" s="2">
        <v>142</v>
      </c>
      <c r="J203" s="2">
        <v>6</v>
      </c>
      <c r="K203" s="3" t="s">
        <v>61</v>
      </c>
      <c r="L203" s="6">
        <f t="shared" si="28"/>
        <v>0.75935828877005351</v>
      </c>
      <c r="M203" s="6">
        <f t="shared" si="29"/>
        <v>0.96666666666666667</v>
      </c>
      <c r="N203" t="str">
        <f t="shared" si="30"/>
        <v>Low</v>
      </c>
      <c r="O203" t="str">
        <f t="shared" si="31"/>
        <v>Meets Expectations</v>
      </c>
      <c r="P203" t="str">
        <f t="shared" si="32"/>
        <v>High Productivity</v>
      </c>
      <c r="Q203" t="str">
        <f t="shared" si="33"/>
        <v>Rohan Verma</v>
      </c>
      <c r="R203" s="13">
        <f t="shared" si="24"/>
        <v>46296</v>
      </c>
    </row>
    <row r="204" spans="1:18">
      <c r="A204" s="2" t="s">
        <v>462</v>
      </c>
      <c r="B204" s="2" t="s">
        <v>463</v>
      </c>
      <c r="C204" s="2" t="s">
        <v>32</v>
      </c>
      <c r="D204" s="2" t="s">
        <v>33</v>
      </c>
      <c r="E204" s="2">
        <v>3</v>
      </c>
      <c r="F204" s="2">
        <v>12</v>
      </c>
      <c r="G204" s="2">
        <v>8</v>
      </c>
      <c r="H204" s="2">
        <v>188</v>
      </c>
      <c r="I204" s="2">
        <v>67</v>
      </c>
      <c r="J204" s="2">
        <v>19</v>
      </c>
      <c r="K204" s="3" t="s">
        <v>84</v>
      </c>
      <c r="L204" s="6">
        <f t="shared" si="28"/>
        <v>0.35638297872340424</v>
      </c>
      <c r="M204" s="6">
        <f t="shared" si="29"/>
        <v>0.66666666666666663</v>
      </c>
      <c r="N204" t="str">
        <f t="shared" si="30"/>
        <v>Medium</v>
      </c>
      <c r="O204" t="str">
        <f t="shared" si="31"/>
        <v>Meets Expectations</v>
      </c>
      <c r="P204" t="str">
        <f t="shared" si="32"/>
        <v>Medium Productivity</v>
      </c>
      <c r="Q204" t="str">
        <f t="shared" si="33"/>
        <v>Ananya Iyer</v>
      </c>
      <c r="R204" s="13">
        <f t="shared" si="24"/>
        <v>46327</v>
      </c>
    </row>
    <row r="205" spans="1:18">
      <c r="A205" s="2" t="s">
        <v>464</v>
      </c>
      <c r="B205" s="2" t="s">
        <v>465</v>
      </c>
      <c r="C205" s="2" t="s">
        <v>48</v>
      </c>
      <c r="D205" s="2" t="s">
        <v>49</v>
      </c>
      <c r="E205" s="2">
        <v>4</v>
      </c>
      <c r="F205" s="2">
        <v>14</v>
      </c>
      <c r="G205" s="2">
        <v>12</v>
      </c>
      <c r="H205" s="2">
        <v>150</v>
      </c>
      <c r="I205" s="2">
        <v>81</v>
      </c>
      <c r="J205" s="2">
        <v>13</v>
      </c>
      <c r="K205" s="3" t="s">
        <v>34</v>
      </c>
      <c r="L205" s="6">
        <f t="shared" si="28"/>
        <v>0.54</v>
      </c>
      <c r="M205" s="6">
        <f t="shared" si="29"/>
        <v>0.8571428571428571</v>
      </c>
      <c r="N205" t="str">
        <f t="shared" si="30"/>
        <v>Medium</v>
      </c>
      <c r="O205" t="str">
        <f t="shared" si="31"/>
        <v>Meets Expectations</v>
      </c>
      <c r="P205" t="str">
        <f t="shared" si="32"/>
        <v>Medium Productivity</v>
      </c>
      <c r="Q205" t="str">
        <f t="shared" si="33"/>
        <v>Priya Nair</v>
      </c>
      <c r="R205" s="13">
        <f t="shared" si="24"/>
        <v>46357</v>
      </c>
    </row>
    <row r="206" spans="1:18" ht="28.8">
      <c r="A206" s="2" t="s">
        <v>466</v>
      </c>
      <c r="B206" s="2" t="s">
        <v>467</v>
      </c>
      <c r="C206" s="2" t="s">
        <v>27</v>
      </c>
      <c r="D206" s="2" t="s">
        <v>128</v>
      </c>
      <c r="E206" s="2">
        <v>3</v>
      </c>
      <c r="F206" s="2">
        <v>23</v>
      </c>
      <c r="G206" s="2">
        <v>18</v>
      </c>
      <c r="H206" s="2">
        <v>175</v>
      </c>
      <c r="I206" s="2">
        <v>120</v>
      </c>
      <c r="J206" s="2">
        <v>6</v>
      </c>
      <c r="K206" s="3" t="s">
        <v>37</v>
      </c>
      <c r="L206" s="6">
        <f t="shared" si="28"/>
        <v>0.68571428571428572</v>
      </c>
      <c r="M206" s="6">
        <f t="shared" si="29"/>
        <v>0.78260869565217395</v>
      </c>
      <c r="N206" t="str">
        <f t="shared" si="30"/>
        <v>Low</v>
      </c>
      <c r="O206" t="str">
        <f t="shared" si="31"/>
        <v>Meets Expectations</v>
      </c>
      <c r="P206" t="str">
        <f t="shared" si="32"/>
        <v>Medium Productivity</v>
      </c>
      <c r="Q206" t="str">
        <f t="shared" si="33"/>
        <v>Vikram Rao</v>
      </c>
      <c r="R206" s="13">
        <f t="shared" si="24"/>
        <v>46023</v>
      </c>
    </row>
    <row r="207" spans="1:18">
      <c r="A207" s="2" t="s">
        <v>468</v>
      </c>
      <c r="B207" s="2" t="s">
        <v>469</v>
      </c>
      <c r="C207" s="2" t="s">
        <v>52</v>
      </c>
      <c r="D207" s="2" t="s">
        <v>81</v>
      </c>
      <c r="E207" s="2">
        <v>4</v>
      </c>
      <c r="F207" s="2">
        <v>24</v>
      </c>
      <c r="G207" s="2">
        <v>23</v>
      </c>
      <c r="H207" s="2">
        <v>184</v>
      </c>
      <c r="I207" s="2">
        <v>134</v>
      </c>
      <c r="J207" s="2">
        <v>6</v>
      </c>
      <c r="K207" s="3" t="s">
        <v>24</v>
      </c>
      <c r="L207" s="6">
        <f t="shared" si="28"/>
        <v>0.72826086956521741</v>
      </c>
      <c r="M207" s="6">
        <f t="shared" si="29"/>
        <v>0.95833333333333337</v>
      </c>
      <c r="N207" t="str">
        <f t="shared" si="30"/>
        <v>Low</v>
      </c>
      <c r="O207" t="str">
        <f t="shared" si="31"/>
        <v>Meets Expectations</v>
      </c>
      <c r="P207" t="str">
        <f t="shared" si="32"/>
        <v>High Productivity</v>
      </c>
      <c r="Q207" t="str">
        <f t="shared" si="33"/>
        <v>Rohan Verma</v>
      </c>
      <c r="R207" s="13">
        <f t="shared" si="24"/>
        <v>46054</v>
      </c>
    </row>
    <row r="208" spans="1:18" ht="28.8">
      <c r="A208" s="2" t="s">
        <v>470</v>
      </c>
      <c r="B208" s="2" t="s">
        <v>471</v>
      </c>
      <c r="C208" s="2" t="s">
        <v>27</v>
      </c>
      <c r="D208" s="2" t="s">
        <v>104</v>
      </c>
      <c r="E208" s="2">
        <v>2</v>
      </c>
      <c r="F208" s="2">
        <v>23</v>
      </c>
      <c r="G208" s="2">
        <v>15</v>
      </c>
      <c r="H208" s="2">
        <v>163</v>
      </c>
      <c r="I208" s="2">
        <v>98</v>
      </c>
      <c r="J208" s="2">
        <v>22</v>
      </c>
      <c r="K208" s="3" t="s">
        <v>194</v>
      </c>
      <c r="L208" s="6">
        <f t="shared" si="28"/>
        <v>0.60122699386503065</v>
      </c>
      <c r="M208" s="6">
        <f t="shared" si="29"/>
        <v>0.65217391304347827</v>
      </c>
      <c r="N208" t="str">
        <f t="shared" si="30"/>
        <v>High</v>
      </c>
      <c r="O208" t="str">
        <f t="shared" si="31"/>
        <v>Needs Improvement</v>
      </c>
      <c r="P208" t="str">
        <f t="shared" si="32"/>
        <v>Medium Productivity</v>
      </c>
      <c r="Q208" t="str">
        <f t="shared" si="33"/>
        <v>Vikram Rao</v>
      </c>
      <c r="R208" s="13">
        <f t="shared" si="24"/>
        <v>46082</v>
      </c>
    </row>
    <row r="209" spans="1:18" ht="28.8">
      <c r="A209" s="2" t="s">
        <v>472</v>
      </c>
      <c r="B209" s="2" t="s">
        <v>473</v>
      </c>
      <c r="C209" s="2" t="s">
        <v>27</v>
      </c>
      <c r="D209" s="2" t="s">
        <v>28</v>
      </c>
      <c r="E209" s="2">
        <v>3</v>
      </c>
      <c r="F209" s="2">
        <v>14</v>
      </c>
      <c r="G209" s="2">
        <v>12</v>
      </c>
      <c r="H209" s="2">
        <v>165</v>
      </c>
      <c r="I209" s="2">
        <v>99</v>
      </c>
      <c r="J209" s="2">
        <v>8</v>
      </c>
      <c r="K209" s="3" t="s">
        <v>37</v>
      </c>
      <c r="L209" s="6">
        <f t="shared" si="28"/>
        <v>0.6</v>
      </c>
      <c r="M209" s="6">
        <f t="shared" si="29"/>
        <v>0.8571428571428571</v>
      </c>
      <c r="N209" t="str">
        <f t="shared" si="30"/>
        <v>Low</v>
      </c>
      <c r="O209" t="str">
        <f t="shared" si="31"/>
        <v>Meets Expectations</v>
      </c>
      <c r="P209" t="str">
        <f t="shared" si="32"/>
        <v>Medium Productivity</v>
      </c>
      <c r="Q209" t="str">
        <f t="shared" si="33"/>
        <v>Vikram Rao</v>
      </c>
      <c r="R209" s="13">
        <f t="shared" si="24"/>
        <v>46113</v>
      </c>
    </row>
    <row r="210" spans="1:18">
      <c r="A210" s="2" t="s">
        <v>474</v>
      </c>
      <c r="B210" s="2" t="s">
        <v>475</v>
      </c>
      <c r="C210" s="2" t="s">
        <v>48</v>
      </c>
      <c r="D210" s="2" t="s">
        <v>113</v>
      </c>
      <c r="E210" s="2">
        <v>4</v>
      </c>
      <c r="F210" s="2">
        <v>13</v>
      </c>
      <c r="G210" s="2">
        <v>11</v>
      </c>
      <c r="H210" s="2">
        <v>145</v>
      </c>
      <c r="I210" s="2">
        <v>76</v>
      </c>
      <c r="J210" s="2">
        <v>8</v>
      </c>
      <c r="K210" s="3" t="s">
        <v>24</v>
      </c>
      <c r="L210" s="6">
        <f t="shared" si="28"/>
        <v>0.52413793103448281</v>
      </c>
      <c r="M210" s="6">
        <f t="shared" si="29"/>
        <v>0.84615384615384615</v>
      </c>
      <c r="N210" t="str">
        <f t="shared" si="30"/>
        <v>Low</v>
      </c>
      <c r="O210" t="str">
        <f t="shared" si="31"/>
        <v>Meets Expectations</v>
      </c>
      <c r="P210" t="str">
        <f t="shared" si="32"/>
        <v>Medium Productivity</v>
      </c>
      <c r="Q210" t="str">
        <f t="shared" si="33"/>
        <v>Priya Nair</v>
      </c>
      <c r="R210" s="13">
        <f t="shared" si="24"/>
        <v>46143</v>
      </c>
    </row>
    <row r="211" spans="1:18">
      <c r="A211" s="2" t="s">
        <v>476</v>
      </c>
      <c r="B211" s="2" t="s">
        <v>477</v>
      </c>
      <c r="C211" s="2" t="s">
        <v>52</v>
      </c>
      <c r="D211" s="2" t="s">
        <v>53</v>
      </c>
      <c r="E211" s="2">
        <v>2</v>
      </c>
      <c r="F211" s="2">
        <v>23</v>
      </c>
      <c r="G211" s="2">
        <v>21</v>
      </c>
      <c r="H211" s="2">
        <v>177</v>
      </c>
      <c r="I211" s="2">
        <v>122</v>
      </c>
      <c r="J211" s="2">
        <v>16</v>
      </c>
      <c r="K211" s="3" t="s">
        <v>15</v>
      </c>
      <c r="L211" s="6">
        <f t="shared" si="28"/>
        <v>0.68926553672316382</v>
      </c>
      <c r="M211" s="6">
        <f t="shared" si="29"/>
        <v>0.91304347826086951</v>
      </c>
      <c r="N211" t="str">
        <f t="shared" si="30"/>
        <v>Medium</v>
      </c>
      <c r="O211" t="str">
        <f t="shared" si="31"/>
        <v>Needs Improvement</v>
      </c>
      <c r="P211" t="str">
        <f t="shared" si="32"/>
        <v>High Productivity</v>
      </c>
      <c r="Q211" t="str">
        <f t="shared" si="33"/>
        <v>Rohan Verma</v>
      </c>
      <c r="R211" s="13">
        <f t="shared" si="24"/>
        <v>46174</v>
      </c>
    </row>
    <row r="212" spans="1:18" ht="28.8">
      <c r="A212" s="2" t="s">
        <v>478</v>
      </c>
      <c r="B212" s="2" t="s">
        <v>479</v>
      </c>
      <c r="C212" s="2" t="s">
        <v>52</v>
      </c>
      <c r="D212" s="2" t="s">
        <v>53</v>
      </c>
      <c r="E212" s="2">
        <v>5</v>
      </c>
      <c r="F212" s="2">
        <v>19</v>
      </c>
      <c r="G212" s="2">
        <v>17</v>
      </c>
      <c r="H212" s="2">
        <v>162</v>
      </c>
      <c r="I212" s="2">
        <v>132</v>
      </c>
      <c r="J212" s="2">
        <v>7</v>
      </c>
      <c r="K212" s="3" t="s">
        <v>20</v>
      </c>
      <c r="L212" s="6">
        <f t="shared" si="28"/>
        <v>0.81481481481481477</v>
      </c>
      <c r="M212" s="6">
        <f t="shared" si="29"/>
        <v>0.89473684210526316</v>
      </c>
      <c r="N212" t="str">
        <f t="shared" si="30"/>
        <v>Low</v>
      </c>
      <c r="O212" t="str">
        <f t="shared" si="31"/>
        <v>Star Performer</v>
      </c>
      <c r="P212" t="str">
        <f t="shared" si="32"/>
        <v>Medium Productivity</v>
      </c>
      <c r="Q212" t="str">
        <f>IF(C212="Sales","Arjun Mehta",IF(C212="Marketing","Priya Nair",IF(C212="Finance","Rahul Sharma",IF(C212="HR","Ananya Iyer",IF(C212="Operations","Vikram Rao",IF(C212="IT","Karthik Menon",IF(C212="Product","Neha Kapoor","Rohan Verma")))))))</f>
        <v>Rohan Verma</v>
      </c>
      <c r="R212" s="13">
        <f t="shared" si="24"/>
        <v>46204</v>
      </c>
    </row>
    <row r="213" spans="1:18">
      <c r="A213" s="2" t="s">
        <v>480</v>
      </c>
      <c r="B213" s="2" t="s">
        <v>481</v>
      </c>
      <c r="C213" s="2" t="s">
        <v>59</v>
      </c>
      <c r="D213" s="2" t="s">
        <v>60</v>
      </c>
      <c r="E213" s="2">
        <v>2</v>
      </c>
      <c r="F213" s="2">
        <v>12</v>
      </c>
      <c r="G213" s="2">
        <v>10</v>
      </c>
      <c r="H213" s="2">
        <v>178</v>
      </c>
      <c r="I213" s="2">
        <v>72</v>
      </c>
      <c r="J213" s="2">
        <v>13</v>
      </c>
      <c r="K213" s="3" t="s">
        <v>15</v>
      </c>
      <c r="L213" s="6">
        <f t="shared" si="28"/>
        <v>0.4044943820224719</v>
      </c>
      <c r="M213" s="6">
        <f t="shared" si="29"/>
        <v>0.83333333333333337</v>
      </c>
      <c r="N213" t="str">
        <f t="shared" si="30"/>
        <v>Medium</v>
      </c>
      <c r="O213" t="str">
        <f t="shared" si="31"/>
        <v>Needs Improvement</v>
      </c>
      <c r="P213" t="str">
        <f t="shared" si="32"/>
        <v>Medium Productivity</v>
      </c>
      <c r="Q213" t="str">
        <f t="shared" ref="Q213:Q241" si="34">IF(C213="Sales","Arjun Mehta",IF(C213="Marketing","Priya Nair",IF(C213="Finance","Rahul Sharma",IF(C213="HR","Ananya Iyer",IF(C213="Operations","Vikram Rao",IF(C213="IT","Karthik Menon",IF(C213="Product","Neha Kapoor","Rohan Verma")))))))</f>
        <v>Rahul Sharma</v>
      </c>
      <c r="R213" s="13">
        <f t="shared" si="24"/>
        <v>46235</v>
      </c>
    </row>
    <row r="214" spans="1:18" ht="28.8">
      <c r="A214" s="2" t="s">
        <v>482</v>
      </c>
      <c r="B214" s="2" t="s">
        <v>483</v>
      </c>
      <c r="C214" s="2" t="s">
        <v>52</v>
      </c>
      <c r="D214" s="2" t="s">
        <v>53</v>
      </c>
      <c r="E214" s="2">
        <v>3</v>
      </c>
      <c r="F214" s="2">
        <v>19</v>
      </c>
      <c r="G214" s="2">
        <v>13</v>
      </c>
      <c r="H214" s="2">
        <v>197</v>
      </c>
      <c r="I214" s="2">
        <v>136</v>
      </c>
      <c r="J214" s="2">
        <v>8</v>
      </c>
      <c r="K214" s="3" t="s">
        <v>37</v>
      </c>
      <c r="L214" s="6">
        <f t="shared" si="28"/>
        <v>0.69035532994923854</v>
      </c>
      <c r="M214" s="6">
        <f t="shared" si="29"/>
        <v>0.68421052631578949</v>
      </c>
      <c r="N214" t="str">
        <f t="shared" si="30"/>
        <v>Low</v>
      </c>
      <c r="O214" t="str">
        <f t="shared" si="31"/>
        <v>Meets Expectations</v>
      </c>
      <c r="P214" t="str">
        <f t="shared" si="32"/>
        <v>Medium Productivity</v>
      </c>
      <c r="Q214" t="str">
        <f t="shared" si="34"/>
        <v>Rohan Verma</v>
      </c>
      <c r="R214" s="13">
        <f t="shared" si="24"/>
        <v>46266</v>
      </c>
    </row>
    <row r="215" spans="1:18">
      <c r="A215" s="2" t="s">
        <v>484</v>
      </c>
      <c r="B215" s="2" t="s">
        <v>485</v>
      </c>
      <c r="C215" s="2" t="s">
        <v>32</v>
      </c>
      <c r="D215" s="2" t="s">
        <v>67</v>
      </c>
      <c r="E215" s="2">
        <v>2</v>
      </c>
      <c r="F215" s="2">
        <v>16</v>
      </c>
      <c r="G215" s="2">
        <v>10</v>
      </c>
      <c r="H215" s="2">
        <v>176</v>
      </c>
      <c r="I215" s="2">
        <v>76</v>
      </c>
      <c r="J215" s="2">
        <v>23</v>
      </c>
      <c r="K215" s="3" t="s">
        <v>15</v>
      </c>
      <c r="L215" s="6">
        <f t="shared" si="28"/>
        <v>0.43181818181818182</v>
      </c>
      <c r="M215" s="6">
        <f t="shared" si="29"/>
        <v>0.625</v>
      </c>
      <c r="N215" t="str">
        <f t="shared" si="30"/>
        <v>High</v>
      </c>
      <c r="O215" t="str">
        <f t="shared" si="31"/>
        <v>Needs Improvement</v>
      </c>
      <c r="P215" t="str">
        <f t="shared" si="32"/>
        <v>Medium Productivity</v>
      </c>
      <c r="Q215" t="str">
        <f t="shared" si="34"/>
        <v>Ananya Iyer</v>
      </c>
      <c r="R215" s="13">
        <f t="shared" ref="R215:R241" si="35">DATE(2026,MOD(ROW()-2,12)+1,1)</f>
        <v>46296</v>
      </c>
    </row>
    <row r="216" spans="1:18">
      <c r="A216" s="2" t="s">
        <v>486</v>
      </c>
      <c r="B216" s="2" t="s">
        <v>487</v>
      </c>
      <c r="C216" s="2" t="s">
        <v>52</v>
      </c>
      <c r="D216" s="2" t="s">
        <v>173</v>
      </c>
      <c r="E216" s="2">
        <v>2</v>
      </c>
      <c r="F216" s="2">
        <v>26</v>
      </c>
      <c r="G216" s="2">
        <v>19</v>
      </c>
      <c r="H216" s="2">
        <v>163</v>
      </c>
      <c r="I216" s="2">
        <v>114</v>
      </c>
      <c r="J216" s="2">
        <v>12</v>
      </c>
      <c r="K216" s="3" t="s">
        <v>29</v>
      </c>
      <c r="L216" s="6">
        <f t="shared" si="28"/>
        <v>0.69938650306748462</v>
      </c>
      <c r="M216" s="6">
        <f t="shared" si="29"/>
        <v>0.73076923076923073</v>
      </c>
      <c r="N216" t="str">
        <f t="shared" si="30"/>
        <v>Medium</v>
      </c>
      <c r="O216" t="str">
        <f t="shared" si="31"/>
        <v>Needs Improvement</v>
      </c>
      <c r="P216" t="str">
        <f t="shared" si="32"/>
        <v>Medium Productivity</v>
      </c>
      <c r="Q216" t="str">
        <f t="shared" si="34"/>
        <v>Rohan Verma</v>
      </c>
      <c r="R216" s="13">
        <f t="shared" si="35"/>
        <v>46327</v>
      </c>
    </row>
    <row r="217" spans="1:18" ht="28.8">
      <c r="A217" s="2" t="s">
        <v>488</v>
      </c>
      <c r="B217" s="2" t="s">
        <v>489</v>
      </c>
      <c r="C217" s="2" t="s">
        <v>32</v>
      </c>
      <c r="D217" s="2" t="s">
        <v>67</v>
      </c>
      <c r="E217" s="2">
        <v>4</v>
      </c>
      <c r="F217" s="2">
        <v>13</v>
      </c>
      <c r="G217" s="2">
        <v>13</v>
      </c>
      <c r="H217" s="2">
        <v>173</v>
      </c>
      <c r="I217" s="2">
        <v>54</v>
      </c>
      <c r="J217" s="2">
        <v>18</v>
      </c>
      <c r="K217" s="3" t="s">
        <v>40</v>
      </c>
      <c r="L217" s="6">
        <f t="shared" si="28"/>
        <v>0.31213872832369943</v>
      </c>
      <c r="M217" s="6">
        <f t="shared" si="29"/>
        <v>1</v>
      </c>
      <c r="N217" t="str">
        <f t="shared" si="30"/>
        <v>Medium</v>
      </c>
      <c r="O217" t="str">
        <f t="shared" si="31"/>
        <v>Meets Expectations</v>
      </c>
      <c r="P217" t="str">
        <f t="shared" si="32"/>
        <v>High Productivity</v>
      </c>
      <c r="Q217" t="str">
        <f t="shared" si="34"/>
        <v>Ananya Iyer</v>
      </c>
      <c r="R217" s="13">
        <f t="shared" si="35"/>
        <v>46357</v>
      </c>
    </row>
    <row r="218" spans="1:18" ht="28.8">
      <c r="A218" s="2" t="s">
        <v>490</v>
      </c>
      <c r="B218" s="2" t="s">
        <v>491</v>
      </c>
      <c r="C218" s="2" t="s">
        <v>52</v>
      </c>
      <c r="D218" s="2" t="s">
        <v>53</v>
      </c>
      <c r="E218" s="2">
        <v>3</v>
      </c>
      <c r="F218" s="2">
        <v>18</v>
      </c>
      <c r="G218" s="2">
        <v>16</v>
      </c>
      <c r="H218" s="2">
        <v>164</v>
      </c>
      <c r="I218" s="2">
        <v>134</v>
      </c>
      <c r="J218" s="2">
        <v>9</v>
      </c>
      <c r="K218" s="3" t="s">
        <v>37</v>
      </c>
      <c r="L218" s="6">
        <f t="shared" si="28"/>
        <v>0.81707317073170727</v>
      </c>
      <c r="M218" s="6">
        <f t="shared" si="29"/>
        <v>0.88888888888888884</v>
      </c>
      <c r="N218" t="str">
        <f t="shared" si="30"/>
        <v>Low</v>
      </c>
      <c r="O218" t="str">
        <f t="shared" si="31"/>
        <v>Meets Expectations</v>
      </c>
      <c r="P218" t="str">
        <f t="shared" si="32"/>
        <v>Medium Productivity</v>
      </c>
      <c r="Q218" t="str">
        <f t="shared" si="34"/>
        <v>Rohan Verma</v>
      </c>
      <c r="R218" s="13">
        <f t="shared" si="35"/>
        <v>46023</v>
      </c>
    </row>
    <row r="219" spans="1:18" ht="28.8">
      <c r="A219" s="2" t="s">
        <v>492</v>
      </c>
      <c r="B219" s="2" t="s">
        <v>493</v>
      </c>
      <c r="C219" s="2" t="s">
        <v>13</v>
      </c>
      <c r="D219" s="2" t="s">
        <v>64</v>
      </c>
      <c r="E219" s="2">
        <v>4</v>
      </c>
      <c r="F219" s="2">
        <v>20</v>
      </c>
      <c r="G219" s="2">
        <v>21</v>
      </c>
      <c r="H219" s="2">
        <v>164</v>
      </c>
      <c r="I219" s="2">
        <v>94</v>
      </c>
      <c r="J219" s="2">
        <v>3</v>
      </c>
      <c r="K219" s="3" t="s">
        <v>40</v>
      </c>
      <c r="L219" s="6">
        <f t="shared" si="28"/>
        <v>0.57317073170731703</v>
      </c>
      <c r="M219" s="6">
        <f t="shared" si="29"/>
        <v>1.05</v>
      </c>
      <c r="N219" t="str">
        <f t="shared" si="30"/>
        <v>Low</v>
      </c>
      <c r="O219" t="str">
        <f t="shared" si="31"/>
        <v>Meets Expectations</v>
      </c>
      <c r="P219" t="str">
        <f t="shared" si="32"/>
        <v>High Productivity</v>
      </c>
      <c r="Q219" t="str">
        <f t="shared" si="34"/>
        <v>Neha Kapoor</v>
      </c>
      <c r="R219" s="13">
        <f t="shared" si="35"/>
        <v>46054</v>
      </c>
    </row>
    <row r="220" spans="1:18" ht="28.8">
      <c r="A220" s="2" t="s">
        <v>494</v>
      </c>
      <c r="B220" s="2" t="s">
        <v>495</v>
      </c>
      <c r="C220" s="2" t="s">
        <v>48</v>
      </c>
      <c r="D220" s="2" t="s">
        <v>75</v>
      </c>
      <c r="E220" s="2">
        <v>2</v>
      </c>
      <c r="F220" s="2">
        <v>26</v>
      </c>
      <c r="G220" s="2">
        <v>15</v>
      </c>
      <c r="H220" s="2">
        <v>175</v>
      </c>
      <c r="I220" s="2">
        <v>73</v>
      </c>
      <c r="J220" s="2">
        <v>8</v>
      </c>
      <c r="K220" s="3" t="s">
        <v>194</v>
      </c>
      <c r="L220" s="6">
        <f t="shared" si="28"/>
        <v>0.41714285714285715</v>
      </c>
      <c r="M220" s="6">
        <f t="shared" si="29"/>
        <v>0.57692307692307687</v>
      </c>
      <c r="N220" t="str">
        <f t="shared" si="30"/>
        <v>Low</v>
      </c>
      <c r="O220" t="str">
        <f t="shared" si="31"/>
        <v>Needs Improvement</v>
      </c>
      <c r="P220" t="str">
        <f t="shared" si="32"/>
        <v>Low Productivity</v>
      </c>
      <c r="Q220" t="str">
        <f t="shared" si="34"/>
        <v>Priya Nair</v>
      </c>
      <c r="R220" s="13">
        <f t="shared" si="35"/>
        <v>46082</v>
      </c>
    </row>
    <row r="221" spans="1:18" ht="28.8">
      <c r="A221" s="2" t="s">
        <v>496</v>
      </c>
      <c r="B221" s="2" t="s">
        <v>497</v>
      </c>
      <c r="C221" s="2" t="s">
        <v>27</v>
      </c>
      <c r="D221" s="2" t="s">
        <v>28</v>
      </c>
      <c r="E221" s="2">
        <v>3</v>
      </c>
      <c r="F221" s="2">
        <v>24</v>
      </c>
      <c r="G221" s="2">
        <v>20</v>
      </c>
      <c r="H221" s="2">
        <v>164</v>
      </c>
      <c r="I221" s="2">
        <v>99</v>
      </c>
      <c r="J221" s="2">
        <v>14</v>
      </c>
      <c r="K221" s="3" t="s">
        <v>37</v>
      </c>
      <c r="L221" s="6">
        <f t="shared" si="28"/>
        <v>0.60365853658536583</v>
      </c>
      <c r="M221" s="6">
        <f t="shared" si="29"/>
        <v>0.83333333333333337</v>
      </c>
      <c r="N221" t="str">
        <f t="shared" si="30"/>
        <v>Medium</v>
      </c>
      <c r="O221" t="str">
        <f t="shared" si="31"/>
        <v>Meets Expectations</v>
      </c>
      <c r="P221" t="str">
        <f t="shared" si="32"/>
        <v>Medium Productivity</v>
      </c>
      <c r="Q221" t="str">
        <f t="shared" si="34"/>
        <v>Vikram Rao</v>
      </c>
      <c r="R221" s="13">
        <f t="shared" si="35"/>
        <v>46113</v>
      </c>
    </row>
    <row r="222" spans="1:18">
      <c r="A222" s="2" t="s">
        <v>498</v>
      </c>
      <c r="B222" s="2" t="s">
        <v>499</v>
      </c>
      <c r="C222" s="2" t="s">
        <v>48</v>
      </c>
      <c r="D222" s="2" t="s">
        <v>113</v>
      </c>
      <c r="E222" s="2">
        <v>4</v>
      </c>
      <c r="F222" s="2">
        <v>14</v>
      </c>
      <c r="G222" s="2">
        <v>15</v>
      </c>
      <c r="H222" s="2">
        <v>170</v>
      </c>
      <c r="I222" s="2">
        <v>88</v>
      </c>
      <c r="J222" s="2">
        <v>4</v>
      </c>
      <c r="K222" s="3" t="s">
        <v>34</v>
      </c>
      <c r="L222" s="6">
        <f t="shared" si="28"/>
        <v>0.51764705882352946</v>
      </c>
      <c r="M222" s="6">
        <f t="shared" si="29"/>
        <v>1.0714285714285714</v>
      </c>
      <c r="N222" t="str">
        <f t="shared" si="30"/>
        <v>Low</v>
      </c>
      <c r="O222" t="str">
        <f t="shared" si="31"/>
        <v>Meets Expectations</v>
      </c>
      <c r="P222" t="str">
        <f t="shared" si="32"/>
        <v>High Productivity</v>
      </c>
      <c r="Q222" t="str">
        <f t="shared" si="34"/>
        <v>Priya Nair</v>
      </c>
      <c r="R222" s="13">
        <f t="shared" si="35"/>
        <v>46143</v>
      </c>
    </row>
    <row r="223" spans="1:18">
      <c r="A223" s="2" t="s">
        <v>500</v>
      </c>
      <c r="B223" s="2" t="s">
        <v>501</v>
      </c>
      <c r="C223" s="2" t="s">
        <v>13</v>
      </c>
      <c r="D223" s="2" t="s">
        <v>64</v>
      </c>
      <c r="E223" s="2">
        <v>2</v>
      </c>
      <c r="F223" s="2">
        <v>18</v>
      </c>
      <c r="G223" s="2">
        <v>14</v>
      </c>
      <c r="H223" s="2">
        <v>145</v>
      </c>
      <c r="I223" s="2">
        <v>93</v>
      </c>
      <c r="J223" s="2">
        <v>16</v>
      </c>
      <c r="K223" s="3" t="s">
        <v>29</v>
      </c>
      <c r="L223" s="6">
        <f t="shared" si="28"/>
        <v>0.64137931034482754</v>
      </c>
      <c r="M223" s="6">
        <f t="shared" si="29"/>
        <v>0.77777777777777779</v>
      </c>
      <c r="N223" t="str">
        <f t="shared" si="30"/>
        <v>Medium</v>
      </c>
      <c r="O223" t="str">
        <f t="shared" si="31"/>
        <v>Needs Improvement</v>
      </c>
      <c r="P223" t="str">
        <f t="shared" si="32"/>
        <v>Medium Productivity</v>
      </c>
      <c r="Q223" t="str">
        <f t="shared" si="34"/>
        <v>Neha Kapoor</v>
      </c>
      <c r="R223" s="13">
        <f t="shared" si="35"/>
        <v>46174</v>
      </c>
    </row>
    <row r="224" spans="1:18">
      <c r="A224" s="2" t="s">
        <v>502</v>
      </c>
      <c r="B224" s="2" t="s">
        <v>503</v>
      </c>
      <c r="C224" s="2" t="s">
        <v>18</v>
      </c>
      <c r="D224" s="2" t="s">
        <v>19</v>
      </c>
      <c r="E224" s="2">
        <v>1</v>
      </c>
      <c r="F224" s="2">
        <v>18</v>
      </c>
      <c r="G224" s="2">
        <v>10</v>
      </c>
      <c r="H224" s="2">
        <v>181</v>
      </c>
      <c r="I224" s="2">
        <v>110</v>
      </c>
      <c r="J224" s="2">
        <v>14</v>
      </c>
      <c r="K224" s="3" t="s">
        <v>250</v>
      </c>
      <c r="L224" s="6">
        <f t="shared" si="28"/>
        <v>0.60773480662983426</v>
      </c>
      <c r="M224" s="6">
        <f t="shared" si="29"/>
        <v>0.55555555555555558</v>
      </c>
      <c r="N224" t="str">
        <f t="shared" si="30"/>
        <v>Medium</v>
      </c>
      <c r="O224" t="str">
        <f t="shared" si="31"/>
        <v>Needs Improvement</v>
      </c>
      <c r="P224" t="str">
        <f t="shared" si="32"/>
        <v>Low Productivity</v>
      </c>
      <c r="Q224" t="str">
        <f t="shared" si="34"/>
        <v>Karthik Menon</v>
      </c>
      <c r="R224" s="13">
        <f t="shared" si="35"/>
        <v>46204</v>
      </c>
    </row>
    <row r="225" spans="1:18" ht="28.8">
      <c r="A225" s="2" t="s">
        <v>504</v>
      </c>
      <c r="B225" s="2" t="s">
        <v>505</v>
      </c>
      <c r="C225" s="2" t="s">
        <v>18</v>
      </c>
      <c r="D225" s="2" t="s">
        <v>243</v>
      </c>
      <c r="E225" s="2">
        <v>5</v>
      </c>
      <c r="F225" s="2">
        <v>13</v>
      </c>
      <c r="G225" s="2">
        <v>16</v>
      </c>
      <c r="H225" s="2">
        <v>158</v>
      </c>
      <c r="I225" s="2">
        <v>98</v>
      </c>
      <c r="J225" s="2">
        <v>12</v>
      </c>
      <c r="K225" s="3" t="s">
        <v>89</v>
      </c>
      <c r="L225" s="6">
        <f t="shared" si="28"/>
        <v>0.620253164556962</v>
      </c>
      <c r="M225" s="6">
        <f t="shared" si="29"/>
        <v>1.2307692307692308</v>
      </c>
      <c r="N225" t="str">
        <f t="shared" si="30"/>
        <v>Medium</v>
      </c>
      <c r="O225" t="str">
        <f t="shared" si="31"/>
        <v>Meets Expectations</v>
      </c>
      <c r="P225" t="str">
        <f t="shared" si="32"/>
        <v>High Productivity</v>
      </c>
      <c r="Q225" t="str">
        <f t="shared" si="34"/>
        <v>Karthik Menon</v>
      </c>
      <c r="R225" s="13">
        <f t="shared" si="35"/>
        <v>46235</v>
      </c>
    </row>
    <row r="226" spans="1:18">
      <c r="A226" s="2" t="s">
        <v>506</v>
      </c>
      <c r="B226" s="2" t="s">
        <v>507</v>
      </c>
      <c r="C226" s="2" t="s">
        <v>27</v>
      </c>
      <c r="D226" s="2" t="s">
        <v>128</v>
      </c>
      <c r="E226" s="2">
        <v>3</v>
      </c>
      <c r="F226" s="2">
        <v>17</v>
      </c>
      <c r="G226" s="2">
        <v>13</v>
      </c>
      <c r="H226" s="2">
        <v>170</v>
      </c>
      <c r="I226" s="2">
        <v>85</v>
      </c>
      <c r="J226" s="2">
        <v>3</v>
      </c>
      <c r="K226" s="3" t="s">
        <v>84</v>
      </c>
      <c r="L226" s="6">
        <f t="shared" si="28"/>
        <v>0.5</v>
      </c>
      <c r="M226" s="6">
        <f t="shared" si="29"/>
        <v>0.76470588235294112</v>
      </c>
      <c r="N226" t="str">
        <f t="shared" si="30"/>
        <v>Low</v>
      </c>
      <c r="O226" t="str">
        <f t="shared" si="31"/>
        <v>Meets Expectations</v>
      </c>
      <c r="P226" t="str">
        <f t="shared" si="32"/>
        <v>Medium Productivity</v>
      </c>
      <c r="Q226" t="str">
        <f t="shared" si="34"/>
        <v>Vikram Rao</v>
      </c>
      <c r="R226" s="13">
        <f t="shared" si="35"/>
        <v>46266</v>
      </c>
    </row>
    <row r="227" spans="1:18">
      <c r="A227" s="2" t="s">
        <v>508</v>
      </c>
      <c r="B227" s="2" t="s">
        <v>509</v>
      </c>
      <c r="C227" s="2" t="s">
        <v>32</v>
      </c>
      <c r="D227" s="2" t="s">
        <v>123</v>
      </c>
      <c r="E227" s="2">
        <v>4</v>
      </c>
      <c r="F227" s="2">
        <v>15</v>
      </c>
      <c r="G227" s="2">
        <v>14</v>
      </c>
      <c r="H227" s="2">
        <v>171</v>
      </c>
      <c r="I227" s="2">
        <v>51</v>
      </c>
      <c r="J227" s="2">
        <v>10</v>
      </c>
      <c r="K227" s="3" t="s">
        <v>34</v>
      </c>
      <c r="L227" s="6">
        <f t="shared" si="28"/>
        <v>0.2982456140350877</v>
      </c>
      <c r="M227" s="6">
        <f t="shared" si="29"/>
        <v>0.93333333333333335</v>
      </c>
      <c r="N227" t="str">
        <f t="shared" si="30"/>
        <v>Medium</v>
      </c>
      <c r="O227" t="str">
        <f t="shared" si="31"/>
        <v>Meets Expectations</v>
      </c>
      <c r="P227" t="str">
        <f t="shared" si="32"/>
        <v>High Productivity</v>
      </c>
      <c r="Q227" t="str">
        <f t="shared" si="34"/>
        <v>Ananya Iyer</v>
      </c>
      <c r="R227" s="13">
        <f t="shared" si="35"/>
        <v>46296</v>
      </c>
    </row>
    <row r="228" spans="1:18">
      <c r="A228" s="2" t="s">
        <v>510</v>
      </c>
      <c r="B228" s="2" t="s">
        <v>511</v>
      </c>
      <c r="C228" s="2" t="s">
        <v>18</v>
      </c>
      <c r="D228" s="2" t="s">
        <v>23</v>
      </c>
      <c r="E228" s="2">
        <v>4</v>
      </c>
      <c r="F228" s="2">
        <v>21</v>
      </c>
      <c r="G228" s="2">
        <v>20</v>
      </c>
      <c r="H228" s="2">
        <v>194</v>
      </c>
      <c r="I228" s="2">
        <v>149</v>
      </c>
      <c r="J228" s="2">
        <v>7</v>
      </c>
      <c r="K228" s="3" t="s">
        <v>34</v>
      </c>
      <c r="L228" s="6">
        <f t="shared" si="28"/>
        <v>0.76804123711340211</v>
      </c>
      <c r="M228" s="6">
        <f t="shared" si="29"/>
        <v>0.95238095238095233</v>
      </c>
      <c r="N228" t="str">
        <f t="shared" si="30"/>
        <v>Low</v>
      </c>
      <c r="O228" t="str">
        <f t="shared" si="31"/>
        <v>Meets Expectations</v>
      </c>
      <c r="P228" t="str">
        <f t="shared" si="32"/>
        <v>High Productivity</v>
      </c>
      <c r="Q228" t="str">
        <f>IF(C228="Sales","Arjun Mehta",IF(C228="Marketing","Priya Nair",IF(C228="Finance","Rahul Sharma",IF(C228="HR","Ananya Iyer",IF(C228="Operations","Vikram Rao",IF(C228="IT","Karthik Menon",IF(C228="Product","Neha Kapoor","Rohan Verma")))))))</f>
        <v>Karthik Menon</v>
      </c>
      <c r="R228" s="13">
        <f t="shared" si="35"/>
        <v>46327</v>
      </c>
    </row>
    <row r="229" spans="1:18">
      <c r="A229" s="2" t="s">
        <v>512</v>
      </c>
      <c r="B229" s="2" t="s">
        <v>513</v>
      </c>
      <c r="C229" s="2" t="s">
        <v>27</v>
      </c>
      <c r="D229" s="2" t="s">
        <v>104</v>
      </c>
      <c r="E229" s="2">
        <v>4</v>
      </c>
      <c r="F229" s="2">
        <v>12</v>
      </c>
      <c r="G229" s="2">
        <v>10</v>
      </c>
      <c r="H229" s="2">
        <v>173</v>
      </c>
      <c r="I229" s="2">
        <v>97</v>
      </c>
      <c r="J229" s="2">
        <v>2</v>
      </c>
      <c r="K229" s="3" t="s">
        <v>34</v>
      </c>
      <c r="L229" s="6">
        <f t="shared" si="28"/>
        <v>0.56069364161849711</v>
      </c>
      <c r="M229" s="6">
        <f t="shared" si="29"/>
        <v>0.83333333333333337</v>
      </c>
      <c r="N229" t="str">
        <f t="shared" si="30"/>
        <v>Low</v>
      </c>
      <c r="O229" t="str">
        <f t="shared" si="31"/>
        <v>Meets Expectations</v>
      </c>
      <c r="P229" t="str">
        <f t="shared" si="32"/>
        <v>Medium Productivity</v>
      </c>
      <c r="Q229" t="str">
        <f t="shared" si="34"/>
        <v>Vikram Rao</v>
      </c>
      <c r="R229" s="13">
        <f t="shared" si="35"/>
        <v>46357</v>
      </c>
    </row>
    <row r="230" spans="1:18">
      <c r="A230" s="2" t="s">
        <v>514</v>
      </c>
      <c r="B230" s="2" t="s">
        <v>515</v>
      </c>
      <c r="C230" s="2" t="s">
        <v>13</v>
      </c>
      <c r="D230" s="2" t="s">
        <v>14</v>
      </c>
      <c r="E230" s="2">
        <v>4</v>
      </c>
      <c r="F230" s="2">
        <v>20</v>
      </c>
      <c r="G230" s="2">
        <v>20</v>
      </c>
      <c r="H230" s="2">
        <v>188</v>
      </c>
      <c r="I230" s="2">
        <v>90</v>
      </c>
      <c r="J230" s="2">
        <v>7</v>
      </c>
      <c r="K230" s="3" t="s">
        <v>34</v>
      </c>
      <c r="L230" s="6">
        <f t="shared" si="28"/>
        <v>0.47872340425531917</v>
      </c>
      <c r="M230" s="6">
        <f t="shared" si="29"/>
        <v>1</v>
      </c>
      <c r="N230" t="str">
        <f t="shared" si="30"/>
        <v>Low</v>
      </c>
      <c r="O230" t="str">
        <f t="shared" si="31"/>
        <v>Meets Expectations</v>
      </c>
      <c r="P230" t="str">
        <f t="shared" si="32"/>
        <v>High Productivity</v>
      </c>
      <c r="Q230" t="str">
        <f t="shared" si="34"/>
        <v>Neha Kapoor</v>
      </c>
      <c r="R230" s="13">
        <f t="shared" si="35"/>
        <v>46023</v>
      </c>
    </row>
    <row r="231" spans="1:18">
      <c r="A231" s="2" t="s">
        <v>516</v>
      </c>
      <c r="B231" s="2" t="s">
        <v>517</v>
      </c>
      <c r="C231" s="2" t="s">
        <v>32</v>
      </c>
      <c r="D231" s="2" t="s">
        <v>33</v>
      </c>
      <c r="E231" s="2">
        <v>2</v>
      </c>
      <c r="F231" s="2">
        <v>13</v>
      </c>
      <c r="G231" s="2">
        <v>9</v>
      </c>
      <c r="H231" s="2">
        <v>156</v>
      </c>
      <c r="I231" s="2">
        <v>58</v>
      </c>
      <c r="J231" s="2">
        <v>22</v>
      </c>
      <c r="K231" s="3" t="s">
        <v>29</v>
      </c>
      <c r="L231" s="6">
        <f t="shared" si="28"/>
        <v>0.37179487179487181</v>
      </c>
      <c r="M231" s="6">
        <f t="shared" si="29"/>
        <v>0.69230769230769229</v>
      </c>
      <c r="N231" t="str">
        <f t="shared" si="30"/>
        <v>High</v>
      </c>
      <c r="O231" t="str">
        <f t="shared" si="31"/>
        <v>Needs Improvement</v>
      </c>
      <c r="P231" t="str">
        <f t="shared" si="32"/>
        <v>Medium Productivity</v>
      </c>
      <c r="Q231" t="str">
        <f t="shared" si="34"/>
        <v>Ananya Iyer</v>
      </c>
      <c r="R231" s="13">
        <f t="shared" si="35"/>
        <v>46054</v>
      </c>
    </row>
    <row r="232" spans="1:18">
      <c r="A232" s="2" t="s">
        <v>518</v>
      </c>
      <c r="B232" s="2" t="s">
        <v>519</v>
      </c>
      <c r="C232" s="2" t="s">
        <v>27</v>
      </c>
      <c r="D232" s="2" t="s">
        <v>128</v>
      </c>
      <c r="E232" s="2">
        <v>3</v>
      </c>
      <c r="F232" s="2">
        <v>22</v>
      </c>
      <c r="G232" s="2">
        <v>17</v>
      </c>
      <c r="H232" s="2">
        <v>183</v>
      </c>
      <c r="I232" s="2">
        <v>103</v>
      </c>
      <c r="J232" s="2">
        <v>2</v>
      </c>
      <c r="K232" s="3" t="s">
        <v>45</v>
      </c>
      <c r="L232" s="6">
        <f t="shared" si="28"/>
        <v>0.56284153005464477</v>
      </c>
      <c r="M232" s="6">
        <f t="shared" si="29"/>
        <v>0.77272727272727271</v>
      </c>
      <c r="N232" t="str">
        <f t="shared" si="30"/>
        <v>Low</v>
      </c>
      <c r="O232" t="str">
        <f t="shared" si="31"/>
        <v>Meets Expectations</v>
      </c>
      <c r="P232" t="str">
        <f t="shared" si="32"/>
        <v>Medium Productivity</v>
      </c>
      <c r="Q232" t="str">
        <f t="shared" si="34"/>
        <v>Vikram Rao</v>
      </c>
      <c r="R232" s="13">
        <f t="shared" si="35"/>
        <v>46082</v>
      </c>
    </row>
    <row r="233" spans="1:18" ht="28.8">
      <c r="A233" s="2" t="s">
        <v>520</v>
      </c>
      <c r="B233" s="2" t="s">
        <v>521</v>
      </c>
      <c r="C233" s="2" t="s">
        <v>27</v>
      </c>
      <c r="D233" s="2" t="s">
        <v>128</v>
      </c>
      <c r="E233" s="2">
        <v>5</v>
      </c>
      <c r="F233" s="2">
        <v>13</v>
      </c>
      <c r="G233" s="2">
        <v>14</v>
      </c>
      <c r="H233" s="2">
        <v>200</v>
      </c>
      <c r="I233" s="2">
        <v>150</v>
      </c>
      <c r="J233" s="2">
        <v>8</v>
      </c>
      <c r="K233" s="3" t="s">
        <v>89</v>
      </c>
      <c r="L233" s="6">
        <f t="shared" si="28"/>
        <v>0.75</v>
      </c>
      <c r="M233" s="6">
        <f t="shared" si="29"/>
        <v>1.0769230769230769</v>
      </c>
      <c r="N233" t="str">
        <f t="shared" si="30"/>
        <v>Low</v>
      </c>
      <c r="O233" t="str">
        <f t="shared" si="31"/>
        <v>Meets Expectations</v>
      </c>
      <c r="P233" t="str">
        <f t="shared" si="32"/>
        <v>High Productivity</v>
      </c>
      <c r="Q233" t="str">
        <f t="shared" si="34"/>
        <v>Vikram Rao</v>
      </c>
      <c r="R233" s="13">
        <f t="shared" si="35"/>
        <v>46113</v>
      </c>
    </row>
    <row r="234" spans="1:18" ht="28.8">
      <c r="A234" s="2" t="s">
        <v>522</v>
      </c>
      <c r="B234" s="2" t="s">
        <v>523</v>
      </c>
      <c r="C234" s="2" t="s">
        <v>43</v>
      </c>
      <c r="D234" s="2" t="s">
        <v>96</v>
      </c>
      <c r="E234" s="2">
        <v>3</v>
      </c>
      <c r="F234" s="2">
        <v>23</v>
      </c>
      <c r="G234" s="2">
        <v>20</v>
      </c>
      <c r="H234" s="2">
        <v>167</v>
      </c>
      <c r="I234" s="2">
        <v>101</v>
      </c>
      <c r="J234" s="2">
        <v>10</v>
      </c>
      <c r="K234" s="3" t="s">
        <v>37</v>
      </c>
      <c r="L234" s="6">
        <f t="shared" si="28"/>
        <v>0.60479041916167664</v>
      </c>
      <c r="M234" s="6">
        <f t="shared" si="29"/>
        <v>0.86956521739130432</v>
      </c>
      <c r="N234" t="str">
        <f t="shared" si="30"/>
        <v>Medium</v>
      </c>
      <c r="O234" t="str">
        <f t="shared" si="31"/>
        <v>Meets Expectations</v>
      </c>
      <c r="P234" t="str">
        <f t="shared" si="32"/>
        <v>Medium Productivity</v>
      </c>
      <c r="Q234" t="str">
        <f t="shared" si="34"/>
        <v>Arjun Mehta</v>
      </c>
      <c r="R234" s="13">
        <f t="shared" si="35"/>
        <v>46143</v>
      </c>
    </row>
    <row r="235" spans="1:18" ht="28.8">
      <c r="A235" s="2" t="s">
        <v>524</v>
      </c>
      <c r="B235" s="2" t="s">
        <v>525</v>
      </c>
      <c r="C235" s="2" t="s">
        <v>52</v>
      </c>
      <c r="D235" s="2" t="s">
        <v>173</v>
      </c>
      <c r="E235" s="2">
        <v>3</v>
      </c>
      <c r="F235" s="2">
        <v>18</v>
      </c>
      <c r="G235" s="2">
        <v>16</v>
      </c>
      <c r="H235" s="2">
        <v>172</v>
      </c>
      <c r="I235" s="2">
        <v>112</v>
      </c>
      <c r="J235" s="2">
        <v>6</v>
      </c>
      <c r="K235" s="3" t="s">
        <v>37</v>
      </c>
      <c r="L235" s="6">
        <f t="shared" si="28"/>
        <v>0.65116279069767447</v>
      </c>
      <c r="M235" s="6">
        <f t="shared" si="29"/>
        <v>0.88888888888888884</v>
      </c>
      <c r="N235" t="str">
        <f t="shared" si="30"/>
        <v>Low</v>
      </c>
      <c r="O235" t="str">
        <f t="shared" si="31"/>
        <v>Meets Expectations</v>
      </c>
      <c r="P235" t="str">
        <f t="shared" si="32"/>
        <v>Medium Productivity</v>
      </c>
      <c r="Q235" t="str">
        <f t="shared" si="34"/>
        <v>Rohan Verma</v>
      </c>
      <c r="R235" s="13">
        <f t="shared" si="35"/>
        <v>46174</v>
      </c>
    </row>
    <row r="236" spans="1:18">
      <c r="A236" s="2" t="s">
        <v>526</v>
      </c>
      <c r="B236" s="2" t="s">
        <v>527</v>
      </c>
      <c r="C236" s="2" t="s">
        <v>13</v>
      </c>
      <c r="D236" s="2" t="s">
        <v>120</v>
      </c>
      <c r="E236" s="2">
        <v>4</v>
      </c>
      <c r="F236" s="2">
        <v>15</v>
      </c>
      <c r="G236" s="2">
        <v>14</v>
      </c>
      <c r="H236" s="2">
        <v>165</v>
      </c>
      <c r="I236" s="2">
        <v>58</v>
      </c>
      <c r="J236" s="2">
        <v>13</v>
      </c>
      <c r="K236" s="3" t="s">
        <v>24</v>
      </c>
      <c r="L236" s="6">
        <f t="shared" si="28"/>
        <v>0.3515151515151515</v>
      </c>
      <c r="M236" s="6">
        <f t="shared" si="29"/>
        <v>0.93333333333333335</v>
      </c>
      <c r="N236" t="str">
        <f t="shared" si="30"/>
        <v>Medium</v>
      </c>
      <c r="O236" t="str">
        <f t="shared" si="31"/>
        <v>Meets Expectations</v>
      </c>
      <c r="P236" t="str">
        <f t="shared" si="32"/>
        <v>High Productivity</v>
      </c>
      <c r="Q236" t="str">
        <f t="shared" si="34"/>
        <v>Neha Kapoor</v>
      </c>
      <c r="R236" s="13">
        <f t="shared" si="35"/>
        <v>46204</v>
      </c>
    </row>
    <row r="237" spans="1:18" ht="28.8">
      <c r="A237" s="2" t="s">
        <v>528</v>
      </c>
      <c r="B237" s="2" t="s">
        <v>529</v>
      </c>
      <c r="C237" s="2" t="s">
        <v>18</v>
      </c>
      <c r="D237" s="2" t="s">
        <v>243</v>
      </c>
      <c r="E237" s="2">
        <v>3</v>
      </c>
      <c r="F237" s="2">
        <v>25</v>
      </c>
      <c r="G237" s="2">
        <v>21</v>
      </c>
      <c r="H237" s="2">
        <v>177</v>
      </c>
      <c r="I237" s="2">
        <v>130</v>
      </c>
      <c r="J237" s="2">
        <v>10</v>
      </c>
      <c r="K237" s="3" t="s">
        <v>37</v>
      </c>
      <c r="L237" s="6">
        <f t="shared" si="28"/>
        <v>0.7344632768361582</v>
      </c>
      <c r="M237" s="6">
        <f t="shared" si="29"/>
        <v>0.84</v>
      </c>
      <c r="N237" t="str">
        <f t="shared" si="30"/>
        <v>Medium</v>
      </c>
      <c r="O237" t="str">
        <f t="shared" si="31"/>
        <v>Meets Expectations</v>
      </c>
      <c r="P237" t="str">
        <f t="shared" si="32"/>
        <v>Medium Productivity</v>
      </c>
      <c r="Q237" t="str">
        <f t="shared" si="34"/>
        <v>Karthik Menon</v>
      </c>
      <c r="R237" s="13">
        <f t="shared" si="35"/>
        <v>46235</v>
      </c>
    </row>
    <row r="238" spans="1:18">
      <c r="A238" s="2" t="s">
        <v>530</v>
      </c>
      <c r="B238" s="2" t="s">
        <v>531</v>
      </c>
      <c r="C238" s="2" t="s">
        <v>48</v>
      </c>
      <c r="D238" s="2" t="s">
        <v>75</v>
      </c>
      <c r="E238" s="2">
        <v>4</v>
      </c>
      <c r="F238" s="2">
        <v>29</v>
      </c>
      <c r="G238" s="2">
        <v>29</v>
      </c>
      <c r="H238" s="2">
        <v>166</v>
      </c>
      <c r="I238" s="2">
        <v>75</v>
      </c>
      <c r="J238" s="2">
        <v>5</v>
      </c>
      <c r="K238" s="3" t="s">
        <v>24</v>
      </c>
      <c r="L238" s="6">
        <f t="shared" si="28"/>
        <v>0.45180722891566266</v>
      </c>
      <c r="M238" s="6">
        <f t="shared" si="29"/>
        <v>1</v>
      </c>
      <c r="N238" t="str">
        <f t="shared" si="30"/>
        <v>Low</v>
      </c>
      <c r="O238" t="str">
        <f t="shared" si="31"/>
        <v>Meets Expectations</v>
      </c>
      <c r="P238" t="str">
        <f t="shared" si="32"/>
        <v>High Productivity</v>
      </c>
      <c r="Q238" t="str">
        <f t="shared" si="34"/>
        <v>Priya Nair</v>
      </c>
      <c r="R238" s="13">
        <f t="shared" si="35"/>
        <v>46266</v>
      </c>
    </row>
    <row r="239" spans="1:18" ht="28.8">
      <c r="A239" s="2" t="s">
        <v>532</v>
      </c>
      <c r="B239" s="2" t="s">
        <v>533</v>
      </c>
      <c r="C239" s="2" t="s">
        <v>43</v>
      </c>
      <c r="D239" s="2" t="s">
        <v>56</v>
      </c>
      <c r="E239" s="2">
        <v>4</v>
      </c>
      <c r="F239" s="2">
        <v>20</v>
      </c>
      <c r="G239" s="2">
        <v>17</v>
      </c>
      <c r="H239" s="2">
        <v>173</v>
      </c>
      <c r="I239" s="2">
        <v>106</v>
      </c>
      <c r="J239" s="2">
        <v>17</v>
      </c>
      <c r="K239" s="3" t="s">
        <v>40</v>
      </c>
      <c r="L239" s="6">
        <f t="shared" si="28"/>
        <v>0.61271676300578037</v>
      </c>
      <c r="M239" s="6">
        <f t="shared" si="29"/>
        <v>0.85</v>
      </c>
      <c r="N239" t="str">
        <f t="shared" si="30"/>
        <v>Medium</v>
      </c>
      <c r="O239" t="str">
        <f t="shared" si="31"/>
        <v>Meets Expectations</v>
      </c>
      <c r="P239" t="str">
        <f t="shared" si="32"/>
        <v>Medium Productivity</v>
      </c>
      <c r="Q239" t="str">
        <f t="shared" si="34"/>
        <v>Arjun Mehta</v>
      </c>
      <c r="R239" s="13">
        <f t="shared" si="35"/>
        <v>46296</v>
      </c>
    </row>
    <row r="240" spans="1:18" ht="28.8">
      <c r="A240" s="2" t="s">
        <v>534</v>
      </c>
      <c r="B240" s="2" t="s">
        <v>535</v>
      </c>
      <c r="C240" s="2" t="s">
        <v>27</v>
      </c>
      <c r="D240" s="2" t="s">
        <v>128</v>
      </c>
      <c r="E240" s="2">
        <v>3</v>
      </c>
      <c r="F240" s="2">
        <v>20</v>
      </c>
      <c r="G240" s="2">
        <v>17</v>
      </c>
      <c r="H240" s="2">
        <v>170</v>
      </c>
      <c r="I240" s="2">
        <v>94</v>
      </c>
      <c r="J240" s="2">
        <v>10</v>
      </c>
      <c r="K240" s="3" t="s">
        <v>37</v>
      </c>
      <c r="L240" s="6">
        <f t="shared" si="28"/>
        <v>0.55294117647058827</v>
      </c>
      <c r="M240" s="6">
        <f t="shared" si="29"/>
        <v>0.85</v>
      </c>
      <c r="N240" t="str">
        <f t="shared" si="30"/>
        <v>Medium</v>
      </c>
      <c r="O240" t="str">
        <f t="shared" si="31"/>
        <v>Meets Expectations</v>
      </c>
      <c r="P240" t="str">
        <f t="shared" si="32"/>
        <v>Medium Productivity</v>
      </c>
      <c r="Q240" t="str">
        <f>IF(C240="Sales","Arjun Mehta",IF(C240="Marketing","Priya Nair",IF(C240="Finance","Rahul Sharma",IF(C240="HR","Ananya Iyer",IF(C240="Operations","Vikram Rao",IF(C240="IT","Karthik Menon",IF(C240="Product","Neha Kapoor","Rohan Verma")))))))</f>
        <v>Vikram Rao</v>
      </c>
      <c r="R240" s="13">
        <f t="shared" si="35"/>
        <v>46327</v>
      </c>
    </row>
    <row r="241" spans="1:18" ht="28.8">
      <c r="A241" s="2" t="s">
        <v>536</v>
      </c>
      <c r="B241" s="2" t="s">
        <v>537</v>
      </c>
      <c r="C241" s="2" t="s">
        <v>48</v>
      </c>
      <c r="D241" s="2" t="s">
        <v>113</v>
      </c>
      <c r="E241" s="2">
        <v>3</v>
      </c>
      <c r="F241" s="2">
        <v>16</v>
      </c>
      <c r="G241" s="2">
        <v>13</v>
      </c>
      <c r="H241" s="2">
        <v>204</v>
      </c>
      <c r="I241" s="2">
        <v>130</v>
      </c>
      <c r="J241" s="2">
        <v>5</v>
      </c>
      <c r="K241" s="3" t="s">
        <v>37</v>
      </c>
      <c r="L241" s="6">
        <f t="shared" si="28"/>
        <v>0.63725490196078427</v>
      </c>
      <c r="M241" s="6">
        <f t="shared" si="29"/>
        <v>0.8125</v>
      </c>
      <c r="N241" t="str">
        <f t="shared" si="30"/>
        <v>Low</v>
      </c>
      <c r="O241" t="str">
        <f t="shared" si="31"/>
        <v>Meets Expectations</v>
      </c>
      <c r="P241" t="str">
        <f t="shared" si="32"/>
        <v>Medium Productivity</v>
      </c>
      <c r="Q241" t="str">
        <f t="shared" si="34"/>
        <v>Priya Nair</v>
      </c>
      <c r="R241" s="13">
        <f t="shared" si="35"/>
        <v>46357</v>
      </c>
    </row>
  </sheetData>
  <autoFilter ref="A1:K241"/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selection activeCell="E10" sqref="E10"/>
    </sheetView>
  </sheetViews>
  <sheetFormatPr defaultRowHeight="14.4"/>
  <cols>
    <col min="1" max="2" width="28.5546875" customWidth="1"/>
  </cols>
  <sheetData>
    <row r="1" spans="1:2">
      <c r="A1" s="7" t="s">
        <v>541</v>
      </c>
      <c r="B1" s="7" t="s">
        <v>542</v>
      </c>
    </row>
    <row r="2" spans="1:2">
      <c r="A2" t="s">
        <v>543</v>
      </c>
      <c r="B2">
        <f>AVERAGE(Employee_Performance!E2:E241)</f>
        <v>3.3125</v>
      </c>
    </row>
    <row r="3" spans="1:2">
      <c r="A3" t="s">
        <v>544</v>
      </c>
      <c r="B3" s="6">
        <f>COUNTIF(Employee_Performance!E2:E241,"&gt;=4")/COUNTA(Employee_Performance!A2:A241)</f>
        <v>0.43333333333333335</v>
      </c>
    </row>
    <row r="4" spans="1:2">
      <c r="A4" t="s">
        <v>545</v>
      </c>
      <c r="B4" s="6">
        <f>AVERAGE(Employee_Performance!L2:L241)</f>
        <v>0.55354152168522408</v>
      </c>
    </row>
    <row r="5" spans="1:2">
      <c r="A5" t="s">
        <v>546</v>
      </c>
      <c r="B5" s="6">
        <f>AVERAGE(Employee_Performance!M2:M241)</f>
        <v>0.85240120558151167</v>
      </c>
    </row>
    <row r="6" spans="1:2">
      <c r="A6" t="s">
        <v>547</v>
      </c>
      <c r="B6" s="8">
        <f>AVERAGE(Employee_Performance!J2:J241)</f>
        <v>10.958333333333334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Employee_Performance</vt:lpstr>
      <vt:lpstr>KPI_Calculations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Swe</cp:lastModifiedBy>
  <dcterms:created xsi:type="dcterms:W3CDTF">2026-09-27T00:55:47Z</dcterms:created>
  <dcterms:modified xsi:type="dcterms:W3CDTF">2026-09-27T01:57:07Z</dcterms:modified>
</cp:coreProperties>
</file>